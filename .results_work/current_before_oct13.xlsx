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笔记\vla学习\论文复现\"/>
    </mc:Choice>
  </mc:AlternateContent>
  <xr:revisionPtr revIDLastSave="0" documentId="13_ncr:1_{628002C2-B390-4A0B-BC8D-8F5E5AA3FE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主实验" sheetId="1" r:id="rId1"/>
    <sheet name="效率" sheetId="3" r:id="rId2"/>
    <sheet name="消融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G10" i="4"/>
  <c r="F10" i="4"/>
  <c r="E10" i="4"/>
  <c r="L9" i="3"/>
  <c r="L8" i="3"/>
  <c r="L7" i="3"/>
  <c r="I33" i="1"/>
  <c r="H33" i="1"/>
  <c r="F33" i="1"/>
  <c r="E33" i="1"/>
  <c r="D33" i="1"/>
  <c r="C33" i="1"/>
  <c r="I32" i="1"/>
  <c r="H32" i="1"/>
  <c r="F32" i="1"/>
  <c r="E32" i="1"/>
  <c r="D32" i="1"/>
  <c r="C32" i="1"/>
  <c r="J31" i="1"/>
  <c r="I31" i="1"/>
  <c r="H31" i="1"/>
  <c r="G31" i="1"/>
  <c r="F31" i="1"/>
  <c r="E31" i="1"/>
  <c r="D31" i="1"/>
  <c r="C31" i="1"/>
  <c r="K9" i="1"/>
  <c r="G33" i="1" s="1"/>
  <c r="F9" i="1"/>
  <c r="N9" i="1" s="1"/>
  <c r="C9" i="1"/>
  <c r="D9" i="1" s="1"/>
  <c r="K8" i="1"/>
  <c r="G32" i="1" s="1"/>
  <c r="F8" i="1"/>
  <c r="D10" i="4" s="1"/>
  <c r="C8" i="1"/>
  <c r="D8" i="1" s="1"/>
  <c r="K7" i="1"/>
  <c r="C7" i="1"/>
  <c r="D7" i="1" s="1"/>
  <c r="F7" i="1" l="1"/>
  <c r="J32" i="1"/>
  <c r="B33" i="1"/>
  <c r="N8" i="1"/>
  <c r="J33" i="1"/>
  <c r="E9" i="1"/>
  <c r="B32" i="1"/>
  <c r="B31" i="1" l="1"/>
  <c r="N7" i="1"/>
  <c r="E8" i="1"/>
  <c r="E7" i="1"/>
</calcChain>
</file>

<file path=xl/sharedStrings.xml><?xml version="1.0" encoding="utf-8"?>
<sst xmlns="http://schemas.openxmlformats.org/spreadsheetml/2006/main" count="205" uniqueCount="114">
  <si>
    <t>TransPrune 主实验记录</t>
  </si>
  <si>
    <t>已录入20组本地评分。VQAv2待在线评分，GQA原模型未完成；空白表示缺少实测值。</t>
  </si>
  <si>
    <t>方法</t>
  </si>
  <si>
    <t>数据来源</t>
  </si>
  <si>
    <t>TFLOPs</t>
  </si>
  <si>
    <t>计算量占比</t>
  </si>
  <si>
    <t>汇总相对性能</t>
  </si>
  <si>
    <t>MME 感知分</t>
  </si>
  <si>
    <t>VQAv2</t>
  </si>
  <si>
    <t>SEED 图片</t>
  </si>
  <si>
    <t>TextVQA</t>
  </si>
  <si>
    <t>SQA 图片</t>
  </si>
  <si>
    <t>POPE F1</t>
  </si>
  <si>
    <t>GQA</t>
  </si>
  <si>
    <t>MMBench 英文</t>
  </si>
  <si>
    <t>结果状态</t>
  </si>
  <si>
    <t>原模型</t>
  </si>
  <si>
    <t>本次实测</t>
  </si>
  <si>
    <t>TransPrune-High</t>
  </si>
  <si>
    <t>TransPrune-Low</t>
  </si>
  <si>
    <t>MME 感知分从“MME分项”自动汇总；TFLOPs 从“效率”读取。其他七项直接填写评分器的 0–100 数值，如 58.2。</t>
  </si>
  <si>
    <t>汇总相对性能 = 八项“当前方法实测分数 ÷ 本次原模型分数”的平均值；八项不齐时留空。不是答题准确率。</t>
  </si>
  <si>
    <t>POPE采用三类F1等权均值；MMBench采用本地exact_matching/circular，评分口径详见“评测明细”。</t>
  </si>
  <si>
    <t>论文参考值：表 1，LLaVA-v1.5-7B</t>
  </si>
  <si>
    <t>来源：TransPrune，CVPR 2026，表 1，PDF 第 5 页。https://openaccess.thecvf.com/content/CVPR2026/papers/Li_TransPrune_Token_Transition_Pruning_for_Efficient_Large_Vision-Language_Model_CVPR_2026_paper.pdf</t>
  </si>
  <si>
    <t>配置说明</t>
  </si>
  <si>
    <t>论文</t>
  </si>
  <si>
    <t>无剪枝</t>
  </si>
  <si>
    <t>FastV</t>
  </si>
  <si>
    <t>K=2，R=0.5</t>
  </si>
  <si>
    <t>PDrop</t>
  </si>
  <si>
    <t>较温和预算</t>
  </si>
  <si>
    <t>SparseVLM</t>
  </si>
  <si>
    <t>High</t>
  </si>
  <si>
    <t>Low</t>
  </si>
  <si>
    <t>与论文同方法的差值：实测减论文</t>
  </si>
  <si>
    <t>MME 感知分差</t>
  </si>
  <si>
    <t>VQAv2 差</t>
  </si>
  <si>
    <t>SEED 差</t>
  </si>
  <si>
    <t>TextVQA 差</t>
  </si>
  <si>
    <t>SQA 差</t>
  </si>
  <si>
    <t>POPE 差</t>
  </si>
  <si>
    <t>GQA 差</t>
  </si>
  <si>
    <t>MMBench 差</t>
  </si>
  <si>
    <t>TFLOPs 差</t>
  </si>
  <si>
    <t>正值表示实测更高。准确率类差值按百分点解释；MME 为分数差。TFLOPs 越低越好，其余表中指标越高越好。</t>
  </si>
  <si>
    <t>状态</t>
  </si>
  <si>
    <t>效率测量记录</t>
  </si>
  <si>
    <t>黄色格填写正式测量结果；已验证的 token 数为配置记录。13.22 GiB 加载占用和调试计时不作为正式峰值/延迟。</t>
  </si>
  <si>
    <t>初始视觉 token</t>
  </si>
  <si>
    <t>最终视觉 token</t>
  </si>
  <si>
    <t>实测 TFLOPs</t>
  </si>
  <si>
    <t>Prefill 均值 ms</t>
  </si>
  <si>
    <t>Decode 均值 ms</t>
  </si>
  <si>
    <t>端到端均值 ms</t>
  </si>
  <si>
    <t>峰值 allocated GiB</t>
  </si>
  <si>
    <t>峰值 reserved GiB</t>
  </si>
  <si>
    <t>输出 token 数</t>
  </si>
  <si>
    <t>重复次数</t>
  </si>
  <si>
    <t>端到端加速比</t>
  </si>
  <si>
    <t>待运行</t>
  </si>
  <si>
    <t>测量条件：先统一，再比较</t>
  </si>
  <si>
    <t>GPU</t>
  </si>
  <si>
    <t>RTX 4090 D 24GB</t>
  </si>
  <si>
    <t>精度</t>
  </si>
  <si>
    <t>FP16</t>
  </si>
  <si>
    <t>测量样本/子集</t>
  </si>
  <si>
    <t>预热次数</t>
  </si>
  <si>
    <t>注意力实现、样本、生成策略要一致；记录实际生成长度和重复次数。</t>
  </si>
  <si>
    <t>注意力后端</t>
  </si>
  <si>
    <t>生成长度策略</t>
  </si>
  <si>
    <t>计时须预热、CUDA 同步；峰值显存需在相同边界重置并测量。</t>
  </si>
  <si>
    <t>Prefill 计时边界</t>
  </si>
  <si>
    <t>Decode 计时边界</t>
  </si>
  <si>
    <t>TFLOPs 为运算量，不能从显存或耗时直接换算；不把论文值填进实测。</t>
  </si>
  <si>
    <t>端到端计时边界</t>
  </si>
  <si>
    <t>FLOPs 统计口径</t>
  </si>
  <si>
    <t>论文表 8 参考：A100 40GB，MME</t>
  </si>
  <si>
    <t>来源：论文表 8。https://openaccess.thecvf.com/content/CVPR2026/papers/Li_TransPrune_Token_Transition_Pruning_for_Efficient_Large_Vision-Language_Model_CVPR_2026_paper.pdf</t>
  </si>
  <si>
    <t>论文延迟 ms</t>
  </si>
  <si>
    <t>论文显存 GB</t>
  </si>
  <si>
    <t>论文 MME 感知分</t>
  </si>
  <si>
    <t>TransPrune</t>
  </si>
  <si>
    <t>论文未在表 8 列出原模型延迟；硬件、计时边界与显存口径需核对，不能将这些数直接当作 4090 D 目标值。</t>
  </si>
  <si>
    <t>消融实验记录</t>
  </si>
  <si>
    <t>后续实验，尚未执行。先完成 MME 和 TextVQA 主实验，再逐项修改方法；比较时固定剪枝预算及生成设置。</t>
  </si>
  <si>
    <t>配置</t>
  </si>
  <si>
    <t>建议预算</t>
  </si>
  <si>
    <t>实现/运行状态</t>
  </si>
  <si>
    <t>论文定位</t>
  </si>
  <si>
    <t>仅 IGA</t>
  </si>
  <si>
    <t>待实现</t>
  </si>
  <si>
    <t>表 12</t>
  </si>
  <si>
    <t>IGA + 方向</t>
  </si>
  <si>
    <t>IGA + 幅度</t>
  </si>
  <si>
    <t>IGA + 完整 TTV</t>
  </si>
  <si>
    <t>主实验复用</t>
  </si>
  <si>
    <t>不累计 TTV</t>
  </si>
  <si>
    <t>表 11</t>
  </si>
  <si>
    <t>仅 TTV</t>
  </si>
  <si>
    <t>需核对论文设置</t>
  </si>
  <si>
    <t>表 7</t>
  </si>
  <si>
    <t>论文参考：表 7、11、12</t>
  </si>
  <si>
    <t>来源：本地论文对应表格；空白为该表未列。https://openaccess.thecvf.com/content/CVPR2026/papers/Li_TransPrune_Token_Transition_Pruning_for_Efficient_Large_Vision-Language_Model_CVPR_2026_paper.pdf</t>
  </si>
  <si>
    <t>论文设置</t>
  </si>
  <si>
    <t>说明</t>
  </si>
  <si>
    <t>High 对照</t>
  </si>
  <si>
    <t>累积对照</t>
  </si>
  <si>
    <t>仅录已核对指标</t>
  </si>
  <si>
    <t>TTV-only</t>
  </si>
  <si>
    <t>POPE 为 82.1</t>
  </si>
  <si>
    <t>每次只改变待验证的组成部分；不累计时使用当前层分数，不等同于在每次剪枝后清零。</t>
  </si>
  <si>
    <t>当前仓库方向项使用 1-cos，论文公式使用 1-|cos|；分别记录实现，不静默把二者视为同一版本。</t>
  </si>
  <si>
    <t>本表是待执行的实验安排；未填实测分数不表示实验失败或得分为 0。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</si>
</sst>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%"/>
    <numFmt numFmtId="178" formatCode="\+0.00;\-0.00;0.00"/>
    <numFmt numFmtId="179" formatCode="0.00&quot;x&quot;"/>
  </numFmts>
  <fonts count="8">
    <font>
      <sz val="11"/>
      <name val="Carlito"/>
    </font>
    <font>
      <sz val="11"/>
      <color rgb="FF203047"/>
      <name val="Microsoft YaHei"/>
      <family val="2"/>
      <charset val="134"/>
    </font>
    <font>
      <b/>
      <sz val="16"/>
      <color rgb="FF263C59"/>
      <name val="Microsoft YaHei"/>
      <family val="2"/>
      <charset val="134"/>
    </font>
    <font>
      <sz val="10"/>
      <color rgb="FF526477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1"/>
      <color rgb="FF263C59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63C59"/>
      </patternFill>
    </fill>
    <fill>
      <patternFill patternType="solid">
        <fgColor rgb="FFFFF2CC"/>
      </patternFill>
    </fill>
    <fill>
      <patternFill patternType="solid">
        <fgColor rgb="FFEAF0F7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C5D4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176" fontId="1" fillId="3" borderId="0" xfId="1" applyNumberFormat="1" applyFont="1" applyFill="1" applyAlignment="1">
      <alignment vertical="center"/>
    </xf>
    <xf numFmtId="176" fontId="1" fillId="4" borderId="0" xfId="1" applyNumberFormat="1" applyFont="1" applyFill="1" applyAlignment="1">
      <alignment vertical="center"/>
    </xf>
    <xf numFmtId="177" fontId="1" fillId="4" borderId="0" xfId="1" applyNumberFormat="1" applyFont="1" applyFill="1" applyAlignment="1">
      <alignment vertical="center"/>
    </xf>
    <xf numFmtId="2" fontId="1" fillId="4" borderId="0" xfId="1" applyNumberFormat="1" applyFont="1" applyFill="1" applyAlignment="1">
      <alignment vertical="center"/>
    </xf>
    <xf numFmtId="0" fontId="5" fillId="0" borderId="0" xfId="1" applyFont="1" applyAlignment="1">
      <alignment vertical="center"/>
    </xf>
    <xf numFmtId="2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176" fontId="1" fillId="0" borderId="0" xfId="1" applyNumberFormat="1" applyFont="1" applyAlignment="1">
      <alignment vertical="center"/>
    </xf>
    <xf numFmtId="178" fontId="1" fillId="4" borderId="0" xfId="1" applyNumberFormat="1" applyFont="1" applyFill="1" applyAlignment="1">
      <alignment vertical="center"/>
    </xf>
    <xf numFmtId="1" fontId="1" fillId="3" borderId="0" xfId="1" applyNumberFormat="1" applyFont="1" applyFill="1" applyAlignment="1">
      <alignment vertical="center"/>
    </xf>
    <xf numFmtId="49" fontId="1" fillId="3" borderId="0" xfId="1" applyNumberFormat="1" applyFont="1" applyFill="1" applyAlignment="1">
      <alignment vertical="center"/>
    </xf>
    <xf numFmtId="2" fontId="1" fillId="3" borderId="0" xfId="1" applyNumberFormat="1" applyFont="1" applyFill="1" applyAlignment="1">
      <alignment vertical="center"/>
    </xf>
    <xf numFmtId="17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2" fontId="1" fillId="3" borderId="0" xfId="1" applyNumberFormat="1" applyFont="1" applyFill="1" applyAlignment="1">
      <alignment horizontal="right" vertical="center"/>
    </xf>
    <xf numFmtId="0" fontId="1" fillId="0" borderId="0" xfId="1" applyFont="1" applyAlignment="1">
      <alignment vertical="center" wrapText="1"/>
    </xf>
    <xf numFmtId="49" fontId="1" fillId="3" borderId="0" xfId="1" applyNumberFormat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2" fontId="1" fillId="5" borderId="0" xfId="0" applyNumberFormat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3C59"/>
  </sheetPr>
  <dimension ref="A1:N43"/>
  <sheetViews>
    <sheetView showGridLines="0" tabSelected="1" workbookViewId="0">
      <pane xSplit="2" ySplit="6" topLeftCell="C25" activePane="bottomRight" state="frozen"/>
      <selection pane="topRight"/>
      <selection pane="bottomLeft"/>
      <selection pane="bottomRight" activeCell="L8" sqref="L8"/>
    </sheetView>
  </sheetViews>
  <sheetFormatPr defaultRowHeight="14"/>
  <cols>
    <col min="1" max="1" width="25" customWidth="1"/>
    <col min="2" max="2" width="13" customWidth="1"/>
    <col min="3" max="3" width="12" customWidth="1"/>
    <col min="4" max="4" width="14" customWidth="1"/>
    <col min="5" max="5" width="17" customWidth="1"/>
    <col min="6" max="6" width="14" customWidth="1"/>
    <col min="7" max="8" width="12" customWidth="1"/>
    <col min="9" max="9" width="13" customWidth="1"/>
    <col min="10" max="12" width="12" customWidth="1"/>
    <col min="13" max="13" width="15" customWidth="1"/>
    <col min="14" max="14" width="18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4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4" customHeight="1">
      <c r="A4" s="4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42" customHeight="1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5" t="s">
        <v>14</v>
      </c>
      <c r="N6" s="5" t="s">
        <v>15</v>
      </c>
    </row>
    <row r="7" spans="1:14" ht="24" customHeight="1">
      <c r="A7" s="1" t="s">
        <v>16</v>
      </c>
      <c r="B7" s="1" t="s">
        <v>17</v>
      </c>
      <c r="C7" s="9" t="str">
        <f>IF(ISNUMBER(效率!D7),效率!D7,"")</f>
        <v/>
      </c>
      <c r="D7" s="8" t="str">
        <f>IF(COUNT(C7,$C$7)&lt;2,"",IF($C$7=0,"",C7/$C$7))</f>
        <v/>
      </c>
      <c r="E7" s="8" t="e">
        <f>IF(AND(COUNT(F7:M7)=8,COUNT($F$7:$M$7)=8,MIN($F$7:$M$7)&gt;0),AVERAGE(F7/F$7,G7/G$7,H7/H$7,I7/I$7,J7/J$7,K7/K$7,L7/L$7,M7/M$7),"")</f>
        <v>#REF!</v>
      </c>
      <c r="F7" s="9" t="str">
        <f>IF(ISNUMBER(#REF!),#REF!,"")</f>
        <v/>
      </c>
      <c r="G7" s="24">
        <v>78.52</v>
      </c>
      <c r="H7" s="20">
        <v>66.191245696620527</v>
      </c>
      <c r="I7" s="20">
        <v>58.21</v>
      </c>
      <c r="J7" s="20">
        <v>69.459999999999994</v>
      </c>
      <c r="K7" s="20" t="e">
        <f>#REF!</f>
        <v>#REF!</v>
      </c>
      <c r="L7" s="20">
        <v>61.92</v>
      </c>
      <c r="M7" s="20">
        <v>64.285714285714292</v>
      </c>
      <c r="N7" s="1" t="str">
        <f>IF(COUNT(F7:M7)=0,"待录入",IF(COUNT(F7:M7)=8,"八项已录入","部分已录入"))</f>
        <v>部分已录入</v>
      </c>
    </row>
    <row r="8" spans="1:14" ht="24" customHeight="1">
      <c r="A8" s="1" t="s">
        <v>18</v>
      </c>
      <c r="B8" s="1" t="s">
        <v>17</v>
      </c>
      <c r="C8" s="9" t="str">
        <f>IF(ISNUMBER(效率!D8),效率!D8,"")</f>
        <v/>
      </c>
      <c r="D8" s="8" t="str">
        <f>IF(COUNT(C8,$C$7)&lt;2,"",IF($C$7=0,"",C8/$C$7))</f>
        <v/>
      </c>
      <c r="E8" s="8" t="e">
        <f>IF(AND(COUNT(F8:M8)=8,COUNT($F$7:$M$7)=8,MIN($F$7:$M$7)&gt;0),AVERAGE(F8/F$7,G8/G$7,H8/H$7,I8/I$7,J8/J$7,K8/K$7,L8/L$7,M8/M$7),"")</f>
        <v>#REF!</v>
      </c>
      <c r="F8" s="9" t="str">
        <f>IF(ISNUMBER(#REF!),#REF!,"")</f>
        <v/>
      </c>
      <c r="G8" s="24">
        <v>77.8</v>
      </c>
      <c r="H8" s="20">
        <v>65.685379048689668</v>
      </c>
      <c r="I8" s="20">
        <v>57.85</v>
      </c>
      <c r="J8" s="20">
        <v>69.510000000000005</v>
      </c>
      <c r="K8" s="20" t="e">
        <f>#REF!</f>
        <v>#REF!</v>
      </c>
      <c r="L8" s="20">
        <v>61.46</v>
      </c>
      <c r="M8" s="20">
        <v>65.476190476190482</v>
      </c>
      <c r="N8" s="1" t="str">
        <f>IF(COUNT(F8:M8)=0,"待录入",IF(COUNT(F8:M8)=8,"八项已录入","部分已录入"))</f>
        <v>部分已录入</v>
      </c>
    </row>
    <row r="9" spans="1:14" ht="24" customHeight="1">
      <c r="A9" s="1" t="s">
        <v>19</v>
      </c>
      <c r="B9" s="1" t="s">
        <v>17</v>
      </c>
      <c r="C9" s="9" t="str">
        <f>IF(ISNUMBER(效率!D9),效率!D9,"")</f>
        <v/>
      </c>
      <c r="D9" s="8" t="str">
        <f>IF(COUNT(C9,$C$7)&lt;2,"",IF($C$7=0,"",C9/$C$7))</f>
        <v/>
      </c>
      <c r="E9" s="8" t="e">
        <f>IF(AND(COUNT(F9:M9)=8,COUNT($F$7:$M$7)=8,MIN($F$7:$M$7)&gt;0),AVERAGE(F9/F$7,G9/G$7,H9/H$7,I9/I$7,J9/J$7,K9/K$7,L9/L$7,M9/M$7),"")</f>
        <v>#REF!</v>
      </c>
      <c r="F9" s="9" t="str">
        <f>IF(ISNUMBER(#REF!),#REF!,"")</f>
        <v/>
      </c>
      <c r="G9" s="24">
        <v>76.48</v>
      </c>
      <c r="H9" s="20">
        <v>64.118597625237129</v>
      </c>
      <c r="I9" s="20">
        <v>56.52</v>
      </c>
      <c r="J9" s="20">
        <v>68.77</v>
      </c>
      <c r="K9" s="20" t="e">
        <f>#REF!</f>
        <v>#REF!</v>
      </c>
      <c r="L9" s="20">
        <v>59.9</v>
      </c>
      <c r="M9" s="20">
        <v>64.88095238095238</v>
      </c>
      <c r="N9" s="1" t="str">
        <f>IF(COUNT(F9:M9)=0,"待录入",IF(COUNT(F9:M9)=8,"八项已录入","部分已录入"))</f>
        <v>部分已录入</v>
      </c>
    </row>
    <row r="10" spans="1:14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4" customHeight="1">
      <c r="A11" s="4" t="s">
        <v>20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4" customHeight="1">
      <c r="A12" s="4" t="s">
        <v>21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4" customHeight="1">
      <c r="A13" s="4" t="s">
        <v>22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4" customHeight="1">
      <c r="A16" s="10" t="s">
        <v>23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4" customHeight="1">
      <c r="A17" s="4" t="s">
        <v>24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42" customHeight="1">
      <c r="A19" s="5" t="s">
        <v>2</v>
      </c>
      <c r="B19" s="5" t="s">
        <v>3</v>
      </c>
      <c r="C19" s="5" t="s">
        <v>4</v>
      </c>
      <c r="D19" s="5" t="s">
        <v>5</v>
      </c>
      <c r="E19" s="5" t="s">
        <v>6</v>
      </c>
      <c r="F19" s="5" t="s">
        <v>7</v>
      </c>
      <c r="G19" s="5" t="s">
        <v>8</v>
      </c>
      <c r="H19" s="5" t="s">
        <v>9</v>
      </c>
      <c r="I19" s="5" t="s">
        <v>10</v>
      </c>
      <c r="J19" s="5" t="s">
        <v>11</v>
      </c>
      <c r="K19" s="5" t="s">
        <v>12</v>
      </c>
      <c r="L19" s="5" t="s">
        <v>13</v>
      </c>
      <c r="M19" s="5" t="s">
        <v>14</v>
      </c>
      <c r="N19" s="5" t="s">
        <v>25</v>
      </c>
    </row>
    <row r="20" spans="1:14" ht="24" customHeight="1">
      <c r="A20" s="1" t="s">
        <v>16</v>
      </c>
      <c r="B20" s="1" t="s">
        <v>26</v>
      </c>
      <c r="C20" s="11">
        <v>3.82</v>
      </c>
      <c r="D20" s="12">
        <v>1</v>
      </c>
      <c r="E20" s="12">
        <v>1</v>
      </c>
      <c r="F20" s="1">
        <v>1506</v>
      </c>
      <c r="G20" s="13">
        <v>78.5</v>
      </c>
      <c r="H20" s="13">
        <v>66.2</v>
      </c>
      <c r="I20" s="13">
        <v>58.2</v>
      </c>
      <c r="J20" s="13">
        <v>69.5</v>
      </c>
      <c r="K20" s="13">
        <v>85.9</v>
      </c>
      <c r="L20" s="13">
        <v>61.9</v>
      </c>
      <c r="M20" s="13">
        <v>64.599999999999994</v>
      </c>
      <c r="N20" s="1" t="s">
        <v>27</v>
      </c>
    </row>
    <row r="21" spans="1:14" ht="24" customHeight="1">
      <c r="A21" s="1" t="s">
        <v>28</v>
      </c>
      <c r="B21" s="1" t="s">
        <v>26</v>
      </c>
      <c r="C21" s="11">
        <v>2.0099999999999998</v>
      </c>
      <c r="D21" s="12">
        <v>0.52600000000000002</v>
      </c>
      <c r="E21" s="12">
        <v>0.97799999999999998</v>
      </c>
      <c r="F21" s="1">
        <v>1474</v>
      </c>
      <c r="G21" s="13">
        <v>77</v>
      </c>
      <c r="H21" s="13">
        <v>64</v>
      </c>
      <c r="I21" s="13">
        <v>57.2</v>
      </c>
      <c r="J21" s="13">
        <v>68.5</v>
      </c>
      <c r="K21" s="13">
        <v>84</v>
      </c>
      <c r="L21" s="13">
        <v>59.4</v>
      </c>
      <c r="M21" s="13">
        <v>64.2</v>
      </c>
      <c r="N21" s="1" t="s">
        <v>29</v>
      </c>
    </row>
    <row r="22" spans="1:14" ht="24" customHeight="1">
      <c r="A22" s="1" t="s">
        <v>30</v>
      </c>
      <c r="B22" s="1" t="s">
        <v>26</v>
      </c>
      <c r="C22" s="11">
        <v>1.78</v>
      </c>
      <c r="D22" s="12">
        <v>0.46600000000000003</v>
      </c>
      <c r="E22" s="12">
        <v>0.98799999999999999</v>
      </c>
      <c r="F22" s="1">
        <v>1500</v>
      </c>
      <c r="G22" s="13">
        <v>77.7</v>
      </c>
      <c r="H22" s="13">
        <v>64.3</v>
      </c>
      <c r="I22" s="13">
        <v>57.5</v>
      </c>
      <c r="J22" s="13">
        <v>69.400000000000006</v>
      </c>
      <c r="K22" s="13">
        <v>84.8</v>
      </c>
      <c r="L22" s="13">
        <v>60.1</v>
      </c>
      <c r="M22" s="13">
        <v>64.900000000000006</v>
      </c>
      <c r="N22" s="1" t="s">
        <v>31</v>
      </c>
    </row>
    <row r="23" spans="1:14" ht="24" customHeight="1">
      <c r="A23" s="1" t="s">
        <v>32</v>
      </c>
      <c r="B23" s="1" t="s">
        <v>26</v>
      </c>
      <c r="C23" s="11">
        <v>1.57</v>
      </c>
      <c r="D23" s="12">
        <v>0.41099999999999998</v>
      </c>
      <c r="E23" s="12">
        <v>0.98799999999999999</v>
      </c>
      <c r="F23" s="1">
        <v>1484</v>
      </c>
      <c r="G23" s="13">
        <v>77.599999999999994</v>
      </c>
      <c r="H23" s="13">
        <v>64.900000000000006</v>
      </c>
      <c r="I23" s="13">
        <v>58</v>
      </c>
      <c r="J23" s="13">
        <v>67.7</v>
      </c>
      <c r="K23" s="13">
        <v>85.7</v>
      </c>
      <c r="L23" s="13">
        <v>60.6</v>
      </c>
      <c r="M23" s="13">
        <v>64.7</v>
      </c>
      <c r="N23" s="1" t="s">
        <v>31</v>
      </c>
    </row>
    <row r="24" spans="1:14" ht="24" customHeight="1">
      <c r="A24" s="1" t="s">
        <v>18</v>
      </c>
      <c r="B24" s="1" t="s">
        <v>26</v>
      </c>
      <c r="C24" s="11">
        <v>1.56</v>
      </c>
      <c r="D24" s="12">
        <v>0.40799999999999997</v>
      </c>
      <c r="E24" s="12">
        <v>1</v>
      </c>
      <c r="F24" s="1">
        <v>1540</v>
      </c>
      <c r="G24" s="13">
        <v>77.900000000000006</v>
      </c>
      <c r="H24" s="13">
        <v>65.7</v>
      </c>
      <c r="I24" s="13">
        <v>57.8</v>
      </c>
      <c r="J24" s="13">
        <v>69.5</v>
      </c>
      <c r="K24" s="13">
        <v>85</v>
      </c>
      <c r="L24" s="13">
        <v>61.4</v>
      </c>
      <c r="M24" s="13">
        <v>66</v>
      </c>
      <c r="N24" s="1" t="s">
        <v>33</v>
      </c>
    </row>
    <row r="25" spans="1:14" ht="24" customHeight="1">
      <c r="A25" s="1" t="s">
        <v>19</v>
      </c>
      <c r="B25" s="1" t="s">
        <v>26</v>
      </c>
      <c r="C25" s="11">
        <v>1.19</v>
      </c>
      <c r="D25" s="12">
        <v>0.312</v>
      </c>
      <c r="E25" s="12">
        <v>0.98399999999999999</v>
      </c>
      <c r="F25" s="1">
        <v>1491</v>
      </c>
      <c r="G25" s="13">
        <v>76.599999999999994</v>
      </c>
      <c r="H25" s="13">
        <v>64.2</v>
      </c>
      <c r="I25" s="13">
        <v>56.5</v>
      </c>
      <c r="J25" s="13">
        <v>68.7</v>
      </c>
      <c r="K25" s="13">
        <v>85.1</v>
      </c>
      <c r="L25" s="13">
        <v>60</v>
      </c>
      <c r="M25" s="13">
        <v>65.599999999999994</v>
      </c>
      <c r="N25" s="1" t="s">
        <v>34</v>
      </c>
    </row>
    <row r="26" spans="1:14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4" customHeight="1">
      <c r="A28" s="10" t="s">
        <v>35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42" customHeight="1">
      <c r="A30" s="5" t="s">
        <v>2</v>
      </c>
      <c r="B30" s="5" t="s">
        <v>36</v>
      </c>
      <c r="C30" s="5" t="s">
        <v>37</v>
      </c>
      <c r="D30" s="5" t="s">
        <v>38</v>
      </c>
      <c r="E30" s="5" t="s">
        <v>39</v>
      </c>
      <c r="F30" s="5" t="s">
        <v>40</v>
      </c>
      <c r="G30" s="5" t="s">
        <v>41</v>
      </c>
      <c r="H30" s="5" t="s">
        <v>42</v>
      </c>
      <c r="I30" s="5" t="s">
        <v>43</v>
      </c>
      <c r="J30" s="5" t="s">
        <v>44</v>
      </c>
      <c r="K30" s="1"/>
      <c r="L30" s="1"/>
      <c r="M30" s="1"/>
      <c r="N30" s="1"/>
    </row>
    <row r="31" spans="1:14" ht="24" customHeight="1">
      <c r="A31" s="1" t="s">
        <v>16</v>
      </c>
      <c r="B31" s="14" t="str">
        <f t="shared" ref="B31:I31" si="0">IF(ISNUMBER(F7),F7-F20,"")</f>
        <v/>
      </c>
      <c r="C31" s="14">
        <f t="shared" si="0"/>
        <v>1.9999999999996021E-2</v>
      </c>
      <c r="D31" s="14">
        <f t="shared" si="0"/>
        <v>-8.754303379475914E-3</v>
      </c>
      <c r="E31" s="14">
        <f t="shared" si="0"/>
        <v>9.9999999999980105E-3</v>
      </c>
      <c r="F31" s="14">
        <f t="shared" si="0"/>
        <v>-4.0000000000006253E-2</v>
      </c>
      <c r="G31" s="14" t="str">
        <f t="shared" si="0"/>
        <v/>
      </c>
      <c r="H31" s="14">
        <f t="shared" si="0"/>
        <v>2.0000000000003126E-2</v>
      </c>
      <c r="I31" s="14">
        <f t="shared" si="0"/>
        <v>-0.31428571428570251</v>
      </c>
      <c r="J31" s="14" t="str">
        <f>IF(ISNUMBER(C7),C7-C20,"")</f>
        <v/>
      </c>
      <c r="K31" s="1"/>
      <c r="L31" s="1"/>
      <c r="M31" s="1"/>
      <c r="N31" s="1"/>
    </row>
    <row r="32" spans="1:14" ht="24" customHeight="1">
      <c r="A32" s="1" t="s">
        <v>18</v>
      </c>
      <c r="B32" s="14" t="str">
        <f t="shared" ref="B32:I33" si="1">IF(ISNUMBER(F8),F8-F24,"")</f>
        <v/>
      </c>
      <c r="C32" s="14">
        <f t="shared" si="1"/>
        <v>-0.10000000000000853</v>
      </c>
      <c r="D32" s="14">
        <f t="shared" si="1"/>
        <v>-1.4620951310334362E-2</v>
      </c>
      <c r="E32" s="14">
        <f t="shared" si="1"/>
        <v>5.0000000000004263E-2</v>
      </c>
      <c r="F32" s="14">
        <f t="shared" si="1"/>
        <v>1.0000000000005116E-2</v>
      </c>
      <c r="G32" s="14" t="str">
        <f t="shared" si="1"/>
        <v/>
      </c>
      <c r="H32" s="14">
        <f t="shared" si="1"/>
        <v>6.0000000000002274E-2</v>
      </c>
      <c r="I32" s="14">
        <f t="shared" si="1"/>
        <v>-0.5238095238095184</v>
      </c>
      <c r="J32" s="14" t="str">
        <f>IF(ISNUMBER(C8),C8-C24,"")</f>
        <v/>
      </c>
      <c r="K32" s="1"/>
      <c r="L32" s="1"/>
      <c r="M32" s="1"/>
      <c r="N32" s="1"/>
    </row>
    <row r="33" spans="1:14" ht="24" customHeight="1">
      <c r="A33" s="1" t="s">
        <v>19</v>
      </c>
      <c r="B33" s="14" t="str">
        <f t="shared" si="1"/>
        <v/>
      </c>
      <c r="C33" s="14">
        <f t="shared" si="1"/>
        <v>-0.11999999999999034</v>
      </c>
      <c r="D33" s="14">
        <f t="shared" si="1"/>
        <v>-8.1402374762873819E-2</v>
      </c>
      <c r="E33" s="14">
        <f t="shared" si="1"/>
        <v>2.0000000000003126E-2</v>
      </c>
      <c r="F33" s="14">
        <f t="shared" si="1"/>
        <v>6.9999999999993179E-2</v>
      </c>
      <c r="G33" s="14" t="str">
        <f t="shared" si="1"/>
        <v/>
      </c>
      <c r="H33" s="14">
        <f t="shared" si="1"/>
        <v>-0.10000000000000142</v>
      </c>
      <c r="I33" s="14">
        <f t="shared" si="1"/>
        <v>-0.71904761904761472</v>
      </c>
      <c r="J33" s="14" t="str">
        <f>IF(ISNUMBER(C9),C9-C25,"")</f>
        <v/>
      </c>
      <c r="K33" s="1"/>
      <c r="L33" s="1"/>
      <c r="M33" s="1"/>
      <c r="N33" s="1"/>
    </row>
    <row r="34" spans="1:14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24" customHeight="1">
      <c r="A35" s="4" t="s">
        <v>45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63C59"/>
  </sheetPr>
  <dimension ref="A1:M3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E29" sqref="A26:E29"/>
    </sheetView>
  </sheetViews>
  <sheetFormatPr defaultRowHeight="14"/>
  <cols>
    <col min="1" max="1" width="25" customWidth="1"/>
    <col min="2" max="3" width="14" customWidth="1"/>
    <col min="4" max="4" width="13" customWidth="1"/>
    <col min="5" max="6" width="16" customWidth="1"/>
    <col min="7" max="7" width="18" customWidth="1"/>
    <col min="8" max="9" width="19" customWidth="1"/>
    <col min="10" max="10" width="15" customWidth="1"/>
    <col min="11" max="11" width="13" customWidth="1"/>
    <col min="12" max="12" width="17" customWidth="1"/>
    <col min="13" max="13" width="22" customWidth="1"/>
  </cols>
  <sheetData>
    <row r="1" spans="1:13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" customHeight="1">
      <c r="A2" s="2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4" customHeight="1">
      <c r="A4" s="4" t="s">
        <v>48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42" customHeight="1">
      <c r="A6" s="5" t="s">
        <v>2</v>
      </c>
      <c r="B6" s="5" t="s">
        <v>49</v>
      </c>
      <c r="C6" s="5" t="s">
        <v>50</v>
      </c>
      <c r="D6" s="5" t="s">
        <v>51</v>
      </c>
      <c r="E6" s="5" t="s">
        <v>52</v>
      </c>
      <c r="F6" s="5" t="s">
        <v>53</v>
      </c>
      <c r="G6" s="5" t="s">
        <v>54</v>
      </c>
      <c r="H6" s="5" t="s">
        <v>55</v>
      </c>
      <c r="I6" s="5" t="s">
        <v>56</v>
      </c>
      <c r="J6" s="5" t="s">
        <v>57</v>
      </c>
      <c r="K6" s="5" t="s">
        <v>58</v>
      </c>
      <c r="L6" s="5" t="s">
        <v>59</v>
      </c>
      <c r="M6" s="5" t="s">
        <v>46</v>
      </c>
    </row>
    <row r="7" spans="1:13" ht="24" customHeight="1">
      <c r="A7" s="1" t="s">
        <v>16</v>
      </c>
      <c r="B7" s="1">
        <v>576</v>
      </c>
      <c r="C7" s="1">
        <v>576</v>
      </c>
      <c r="D7" s="17"/>
      <c r="E7" s="17"/>
      <c r="F7" s="17"/>
      <c r="G7" s="17"/>
      <c r="H7" s="17"/>
      <c r="I7" s="17"/>
      <c r="J7" s="15"/>
      <c r="K7" s="15"/>
      <c r="L7" s="18" t="str">
        <f>IF(COUNT(G7,$G$7)&lt;2,"",IF(G7=0,"",$G$7/G7))</f>
        <v/>
      </c>
      <c r="M7" s="16" t="s">
        <v>60</v>
      </c>
    </row>
    <row r="8" spans="1:13" ht="24" customHeight="1">
      <c r="A8" s="1" t="s">
        <v>18</v>
      </c>
      <c r="B8" s="1">
        <v>576</v>
      </c>
      <c r="C8" s="1">
        <v>72</v>
      </c>
      <c r="D8" s="17"/>
      <c r="E8" s="17"/>
      <c r="F8" s="17"/>
      <c r="G8" s="17"/>
      <c r="H8" s="17"/>
      <c r="I8" s="17"/>
      <c r="J8" s="15"/>
      <c r="K8" s="15"/>
      <c r="L8" s="18" t="str">
        <f>IF(COUNT(G8,$G$7)&lt;2,"",IF(G8=0,"",$G$7/G8))</f>
        <v/>
      </c>
      <c r="M8" s="16" t="s">
        <v>60</v>
      </c>
    </row>
    <row r="9" spans="1:13" ht="24" customHeight="1">
      <c r="A9" s="1" t="s">
        <v>19</v>
      </c>
      <c r="B9" s="1">
        <v>576</v>
      </c>
      <c r="C9" s="1">
        <v>36</v>
      </c>
      <c r="D9" s="17"/>
      <c r="E9" s="17"/>
      <c r="F9" s="17"/>
      <c r="G9" s="17"/>
      <c r="H9" s="17"/>
      <c r="I9" s="17"/>
      <c r="J9" s="15"/>
      <c r="K9" s="15"/>
      <c r="L9" s="18" t="str">
        <f>IF(COUNT(G9,$G$7)&lt;2,"",IF(G9=0,"",$G$7/G9))</f>
        <v/>
      </c>
      <c r="M9" s="16" t="s">
        <v>60</v>
      </c>
    </row>
    <row r="10" spans="1:13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4" customHeight="1">
      <c r="A12" s="10" t="s">
        <v>61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4" customHeight="1">
      <c r="A14" s="19" t="s">
        <v>62</v>
      </c>
      <c r="B14" s="21" t="s">
        <v>63</v>
      </c>
      <c r="C14" s="21"/>
      <c r="D14" s="21"/>
      <c r="E14" s="19" t="s">
        <v>64</v>
      </c>
      <c r="F14" s="21" t="s">
        <v>65</v>
      </c>
      <c r="G14" s="21"/>
      <c r="H14" s="21"/>
      <c r="I14" s="21"/>
      <c r="J14" s="21"/>
      <c r="K14" s="21"/>
      <c r="L14" s="21"/>
      <c r="M14" s="21"/>
    </row>
    <row r="15" spans="1:13" ht="34" customHeight="1">
      <c r="A15" s="19" t="s">
        <v>66</v>
      </c>
      <c r="B15" s="22"/>
      <c r="C15" s="22"/>
      <c r="D15" s="22"/>
      <c r="E15" s="19" t="s">
        <v>67</v>
      </c>
      <c r="F15" s="22"/>
      <c r="G15" s="22"/>
      <c r="H15" s="22"/>
      <c r="I15" s="23" t="s">
        <v>68</v>
      </c>
      <c r="J15" s="21"/>
      <c r="K15" s="21"/>
      <c r="L15" s="21"/>
      <c r="M15" s="21"/>
    </row>
    <row r="16" spans="1:13" ht="34" customHeight="1">
      <c r="A16" s="19" t="s">
        <v>69</v>
      </c>
      <c r="B16" s="22"/>
      <c r="C16" s="22"/>
      <c r="D16" s="22"/>
      <c r="E16" s="19" t="s">
        <v>70</v>
      </c>
      <c r="F16" s="22"/>
      <c r="G16" s="22"/>
      <c r="H16" s="22"/>
      <c r="I16" s="23" t="s">
        <v>71</v>
      </c>
      <c r="J16" s="21"/>
      <c r="K16" s="21"/>
      <c r="L16" s="21"/>
      <c r="M16" s="21"/>
    </row>
    <row r="17" spans="1:13" ht="34" customHeight="1">
      <c r="A17" s="19" t="s">
        <v>72</v>
      </c>
      <c r="B17" s="22"/>
      <c r="C17" s="22"/>
      <c r="D17" s="22"/>
      <c r="E17" s="19" t="s">
        <v>73</v>
      </c>
      <c r="F17" s="22"/>
      <c r="G17" s="22"/>
      <c r="H17" s="22"/>
      <c r="I17" s="23" t="s">
        <v>74</v>
      </c>
      <c r="J17" s="21"/>
      <c r="K17" s="21"/>
      <c r="L17" s="21"/>
      <c r="M17" s="21"/>
    </row>
    <row r="18" spans="1:13" ht="34" customHeight="1">
      <c r="A18" s="19" t="s">
        <v>75</v>
      </c>
      <c r="B18" s="22"/>
      <c r="C18" s="22"/>
      <c r="D18" s="22"/>
      <c r="E18" s="19" t="s">
        <v>76</v>
      </c>
      <c r="F18" s="22"/>
      <c r="G18" s="22"/>
      <c r="H18" s="22"/>
      <c r="I18" s="21"/>
      <c r="J18" s="21"/>
      <c r="K18" s="21"/>
      <c r="L18" s="21"/>
      <c r="M18" s="21"/>
    </row>
    <row r="19" spans="1:13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4" customHeight="1">
      <c r="A22" s="10" t="s">
        <v>77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4" customHeight="1">
      <c r="A23" s="4" t="s">
        <v>78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42" customHeight="1">
      <c r="A25" s="5" t="s">
        <v>2</v>
      </c>
      <c r="B25" s="5" t="s">
        <v>79</v>
      </c>
      <c r="C25" s="5" t="s">
        <v>80</v>
      </c>
      <c r="D25" s="5" t="s">
        <v>81</v>
      </c>
      <c r="E25" s="1"/>
      <c r="F25" s="1"/>
      <c r="G25" s="1"/>
      <c r="H25" s="1"/>
      <c r="I25" s="1"/>
      <c r="J25" s="1"/>
      <c r="K25" s="1"/>
      <c r="L25" s="1"/>
      <c r="M25" s="1"/>
    </row>
    <row r="26" spans="1:13" ht="24" customHeight="1">
      <c r="A26" s="1" t="s">
        <v>28</v>
      </c>
      <c r="B26" s="13">
        <v>125.2</v>
      </c>
      <c r="C26" s="11">
        <v>14.99</v>
      </c>
      <c r="D26" s="1">
        <v>1474</v>
      </c>
      <c r="E26" s="1"/>
      <c r="F26" s="1"/>
      <c r="G26" s="1"/>
      <c r="H26" s="1"/>
      <c r="I26" s="1"/>
      <c r="J26" s="1"/>
      <c r="K26" s="1"/>
      <c r="L26" s="1"/>
      <c r="M26" s="1"/>
    </row>
    <row r="27" spans="1:13" ht="24" customHeight="1">
      <c r="A27" s="1" t="s">
        <v>30</v>
      </c>
      <c r="B27" s="13">
        <v>115.2</v>
      </c>
      <c r="C27" s="11">
        <v>14.87</v>
      </c>
      <c r="D27" s="1">
        <v>1500</v>
      </c>
      <c r="E27" s="1"/>
      <c r="F27" s="1"/>
      <c r="G27" s="1"/>
      <c r="H27" s="1"/>
      <c r="I27" s="1"/>
      <c r="J27" s="1"/>
      <c r="K27" s="1"/>
      <c r="L27" s="1"/>
      <c r="M27" s="1"/>
    </row>
    <row r="28" spans="1:13" ht="24" customHeight="1">
      <c r="A28" s="1" t="s">
        <v>32</v>
      </c>
      <c r="B28" s="13">
        <v>129.1</v>
      </c>
      <c r="C28" s="11">
        <v>19.05</v>
      </c>
      <c r="D28" s="1">
        <v>1484</v>
      </c>
      <c r="E28" s="1"/>
      <c r="F28" s="1"/>
      <c r="G28" s="1"/>
      <c r="H28" s="1"/>
      <c r="I28" s="1"/>
      <c r="J28" s="1"/>
      <c r="K28" s="1"/>
      <c r="L28" s="1"/>
      <c r="M28" s="1"/>
    </row>
    <row r="29" spans="1:13" ht="24" customHeight="1">
      <c r="A29" s="1" t="s">
        <v>82</v>
      </c>
      <c r="B29" s="13">
        <v>111.4</v>
      </c>
      <c r="C29" s="11">
        <v>14.82</v>
      </c>
      <c r="D29" s="1">
        <v>1540</v>
      </c>
      <c r="E29" s="1"/>
      <c r="F29" s="1"/>
      <c r="G29" s="1"/>
      <c r="H29" s="1"/>
      <c r="I29" s="1"/>
      <c r="J29" s="1"/>
      <c r="K29" s="1"/>
      <c r="L29" s="1"/>
      <c r="M29" s="1"/>
    </row>
    <row r="30" spans="1:13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4" customHeight="1">
      <c r="A31" s="4" t="s">
        <v>83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mergeCells count="15">
    <mergeCell ref="B18:D18"/>
    <mergeCell ref="F18:H18"/>
    <mergeCell ref="I18:M18"/>
    <mergeCell ref="B16:D16"/>
    <mergeCell ref="F16:H16"/>
    <mergeCell ref="I16:M16"/>
    <mergeCell ref="B17:D17"/>
    <mergeCell ref="F17:H17"/>
    <mergeCell ref="I17:M17"/>
    <mergeCell ref="B14:D14"/>
    <mergeCell ref="F14:H14"/>
    <mergeCell ref="I14:M14"/>
    <mergeCell ref="B15:D15"/>
    <mergeCell ref="F15:H15"/>
    <mergeCell ref="I15:M15"/>
  </mergeCells>
  <phoneticPr fontId="7" type="noConversion"/>
  <dataValidations count="1">
    <dataValidation type="list" sqref="M7:M9" xr:uid="{00000000-0002-0000-0200-000000000000}">
      <formula1>"待准备,待运行,运行中,待确认,已完成,待修复,暂不开展"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63C59"/>
  </sheetPr>
  <dimension ref="A1:J33"/>
  <sheetViews>
    <sheetView showGridLines="0" workbookViewId="0"/>
  </sheetViews>
  <sheetFormatPr defaultRowHeight="14"/>
  <cols>
    <col min="1" max="1" width="26" customWidth="1"/>
    <col min="2" max="2" width="17" customWidth="1"/>
    <col min="3" max="3" width="15" customWidth="1"/>
    <col min="4" max="6" width="14" customWidth="1"/>
    <col min="7" max="8" width="16" customWidth="1"/>
    <col min="9" max="9" width="19" customWidth="1"/>
    <col min="10" max="10" width="20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4" customHeight="1">
      <c r="A2" s="2" t="s">
        <v>84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4" customHeight="1">
      <c r="A4" s="4" t="s">
        <v>85</v>
      </c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42" customHeight="1">
      <c r="A6" s="5" t="s">
        <v>86</v>
      </c>
      <c r="B6" s="5" t="s">
        <v>87</v>
      </c>
      <c r="C6" s="5" t="s">
        <v>3</v>
      </c>
      <c r="D6" s="5" t="s">
        <v>7</v>
      </c>
      <c r="E6" s="5" t="s">
        <v>11</v>
      </c>
      <c r="F6" s="5" t="s">
        <v>13</v>
      </c>
      <c r="G6" s="5" t="s">
        <v>14</v>
      </c>
      <c r="H6" s="5" t="s">
        <v>10</v>
      </c>
      <c r="I6" s="5" t="s">
        <v>88</v>
      </c>
      <c r="J6" s="5" t="s">
        <v>89</v>
      </c>
    </row>
    <row r="7" spans="1:10" ht="24" customHeight="1">
      <c r="A7" s="1" t="s">
        <v>90</v>
      </c>
      <c r="B7" s="1" t="s">
        <v>33</v>
      </c>
      <c r="C7" s="1" t="s">
        <v>17</v>
      </c>
      <c r="D7" s="17"/>
      <c r="E7" s="6"/>
      <c r="F7" s="6"/>
      <c r="G7" s="6"/>
      <c r="H7" s="6"/>
      <c r="I7" s="1" t="s">
        <v>91</v>
      </c>
      <c r="J7" s="1" t="s">
        <v>92</v>
      </c>
    </row>
    <row r="8" spans="1:10" ht="24" customHeight="1">
      <c r="A8" s="1" t="s">
        <v>93</v>
      </c>
      <c r="B8" s="1" t="s">
        <v>33</v>
      </c>
      <c r="C8" s="1" t="s">
        <v>17</v>
      </c>
      <c r="D8" s="17"/>
      <c r="E8" s="6"/>
      <c r="F8" s="6"/>
      <c r="G8" s="6"/>
      <c r="H8" s="6"/>
      <c r="I8" s="1" t="s">
        <v>91</v>
      </c>
      <c r="J8" s="1" t="s">
        <v>92</v>
      </c>
    </row>
    <row r="9" spans="1:10" ht="24" customHeight="1">
      <c r="A9" s="1" t="s">
        <v>94</v>
      </c>
      <c r="B9" s="1" t="s">
        <v>33</v>
      </c>
      <c r="C9" s="1" t="s">
        <v>17</v>
      </c>
      <c r="D9" s="17"/>
      <c r="E9" s="6"/>
      <c r="F9" s="6"/>
      <c r="G9" s="6"/>
      <c r="H9" s="6"/>
      <c r="I9" s="1" t="s">
        <v>91</v>
      </c>
      <c r="J9" s="1" t="s">
        <v>92</v>
      </c>
    </row>
    <row r="10" spans="1:10" ht="24" customHeight="1">
      <c r="A10" s="1" t="s">
        <v>95</v>
      </c>
      <c r="B10" s="1" t="s">
        <v>33</v>
      </c>
      <c r="C10" s="1" t="s">
        <v>17</v>
      </c>
      <c r="D10" s="7" t="str">
        <f>IF(ISNUMBER(主实验!F8),主实验!F8,"")</f>
        <v/>
      </c>
      <c r="E10" s="7">
        <f>IF(ISNUMBER(主实验!J8),主实验!J8,"")</f>
        <v>69.510000000000005</v>
      </c>
      <c r="F10" s="7">
        <f>IF(ISNUMBER(主实验!L8),主实验!L8,"")</f>
        <v>61.46</v>
      </c>
      <c r="G10" s="7">
        <f>IF(ISNUMBER(主实验!M8),主实验!M8,"")</f>
        <v>65.476190476190482</v>
      </c>
      <c r="H10" s="7">
        <f>IF(ISNUMBER(主实验!I8),主实验!I8,"")</f>
        <v>57.85</v>
      </c>
      <c r="I10" s="1" t="s">
        <v>96</v>
      </c>
      <c r="J10" s="1" t="s">
        <v>92</v>
      </c>
    </row>
    <row r="11" spans="1:10" ht="24" customHeight="1">
      <c r="A11" s="1" t="s">
        <v>97</v>
      </c>
      <c r="B11" s="1" t="s">
        <v>33</v>
      </c>
      <c r="C11" s="1" t="s">
        <v>17</v>
      </c>
      <c r="D11" s="17"/>
      <c r="E11" s="6"/>
      <c r="F11" s="6"/>
      <c r="G11" s="6"/>
      <c r="H11" s="6"/>
      <c r="I11" s="1" t="s">
        <v>91</v>
      </c>
      <c r="J11" s="1" t="s">
        <v>98</v>
      </c>
    </row>
    <row r="12" spans="1:10" ht="24" customHeight="1">
      <c r="A12" s="1" t="s">
        <v>99</v>
      </c>
      <c r="B12" s="1" t="s">
        <v>100</v>
      </c>
      <c r="C12" s="1" t="s">
        <v>17</v>
      </c>
      <c r="D12" s="17"/>
      <c r="E12" s="6"/>
      <c r="F12" s="6"/>
      <c r="G12" s="6"/>
      <c r="H12" s="6"/>
      <c r="I12" s="1" t="s">
        <v>91</v>
      </c>
      <c r="J12" s="1" t="s">
        <v>101</v>
      </c>
    </row>
    <row r="13" spans="1:10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4" customHeight="1">
      <c r="A15" s="10" t="s">
        <v>102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24" customHeight="1">
      <c r="A16" s="4" t="s">
        <v>103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42" customHeight="1">
      <c r="A18" s="5" t="s">
        <v>86</v>
      </c>
      <c r="B18" s="5" t="s">
        <v>104</v>
      </c>
      <c r="C18" s="5" t="s">
        <v>3</v>
      </c>
      <c r="D18" s="5" t="s">
        <v>7</v>
      </c>
      <c r="E18" s="5" t="s">
        <v>11</v>
      </c>
      <c r="F18" s="5" t="s">
        <v>13</v>
      </c>
      <c r="G18" s="5" t="s">
        <v>14</v>
      </c>
      <c r="H18" s="5" t="s">
        <v>10</v>
      </c>
      <c r="I18" s="5" t="s">
        <v>105</v>
      </c>
      <c r="J18" s="5" t="s">
        <v>89</v>
      </c>
    </row>
    <row r="19" spans="1:10" ht="24" customHeight="1">
      <c r="A19" s="1" t="s">
        <v>90</v>
      </c>
      <c r="B19" s="1" t="s">
        <v>106</v>
      </c>
      <c r="C19" s="1" t="s">
        <v>26</v>
      </c>
      <c r="D19" s="1">
        <v>1514</v>
      </c>
      <c r="E19" s="13">
        <v>69</v>
      </c>
      <c r="F19" s="13">
        <v>61.1</v>
      </c>
      <c r="G19" s="13">
        <v>65.599999999999994</v>
      </c>
      <c r="H19" s="13"/>
      <c r="I19" s="1"/>
      <c r="J19" s="1" t="s">
        <v>92</v>
      </c>
    </row>
    <row r="20" spans="1:10" ht="24" customHeight="1">
      <c r="A20" s="1" t="s">
        <v>93</v>
      </c>
      <c r="B20" s="1" t="s">
        <v>106</v>
      </c>
      <c r="C20" s="1" t="s">
        <v>26</v>
      </c>
      <c r="D20" s="1">
        <v>1521</v>
      </c>
      <c r="E20" s="13">
        <v>69.099999999999994</v>
      </c>
      <c r="F20" s="13">
        <v>61.2</v>
      </c>
      <c r="G20" s="13">
        <v>65.400000000000006</v>
      </c>
      <c r="H20" s="13"/>
      <c r="I20" s="1"/>
      <c r="J20" s="1" t="s">
        <v>92</v>
      </c>
    </row>
    <row r="21" spans="1:10" ht="24" customHeight="1">
      <c r="A21" s="1" t="s">
        <v>94</v>
      </c>
      <c r="B21" s="1" t="s">
        <v>106</v>
      </c>
      <c r="C21" s="1" t="s">
        <v>26</v>
      </c>
      <c r="D21" s="1">
        <v>1532</v>
      </c>
      <c r="E21" s="13">
        <v>69.400000000000006</v>
      </c>
      <c r="F21" s="13">
        <v>61.4</v>
      </c>
      <c r="G21" s="13">
        <v>65.7</v>
      </c>
      <c r="H21" s="13"/>
      <c r="I21" s="1"/>
      <c r="J21" s="1" t="s">
        <v>92</v>
      </c>
    </row>
    <row r="22" spans="1:10" ht="24" customHeight="1">
      <c r="A22" s="1" t="s">
        <v>95</v>
      </c>
      <c r="B22" s="1" t="s">
        <v>106</v>
      </c>
      <c r="C22" s="1" t="s">
        <v>26</v>
      </c>
      <c r="D22" s="1">
        <v>1540</v>
      </c>
      <c r="E22" s="13">
        <v>69.5</v>
      </c>
      <c r="F22" s="13">
        <v>61.4</v>
      </c>
      <c r="G22" s="13">
        <v>66</v>
      </c>
      <c r="H22" s="13"/>
      <c r="I22" s="1"/>
      <c r="J22" s="1" t="s">
        <v>92</v>
      </c>
    </row>
    <row r="23" spans="1:10" ht="24" customHeight="1">
      <c r="A23" s="1" t="s">
        <v>97</v>
      </c>
      <c r="B23" s="1" t="s">
        <v>107</v>
      </c>
      <c r="C23" s="1" t="s">
        <v>26</v>
      </c>
      <c r="D23" s="1">
        <v>1530</v>
      </c>
      <c r="E23" s="13"/>
      <c r="F23" s="13">
        <v>61.4</v>
      </c>
      <c r="G23" s="13">
        <v>65.7</v>
      </c>
      <c r="H23" s="13"/>
      <c r="I23" s="1" t="s">
        <v>108</v>
      </c>
      <c r="J23" s="1" t="s">
        <v>98</v>
      </c>
    </row>
    <row r="24" spans="1:10" ht="24" customHeight="1">
      <c r="A24" s="1" t="s">
        <v>99</v>
      </c>
      <c r="B24" s="1" t="s">
        <v>109</v>
      </c>
      <c r="C24" s="1" t="s">
        <v>26</v>
      </c>
      <c r="D24" s="1"/>
      <c r="E24" s="13">
        <v>68.900000000000006</v>
      </c>
      <c r="F24" s="13">
        <v>58.4</v>
      </c>
      <c r="G24" s="13">
        <v>64.900000000000006</v>
      </c>
      <c r="H24" s="13">
        <v>50.9</v>
      </c>
      <c r="I24" s="1" t="s">
        <v>110</v>
      </c>
      <c r="J24" s="1" t="s">
        <v>101</v>
      </c>
    </row>
    <row r="25" spans="1:10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4" customHeight="1">
      <c r="A27" s="4" t="s">
        <v>111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4" t="s">
        <v>112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24" customHeight="1">
      <c r="A29" s="4" t="s">
        <v>113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主实验</vt:lpstr>
      <vt:lpstr>效率</vt:lpstr>
      <vt:lpstr>消融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先生 邱</cp:lastModifiedBy>
  <dcterms:modified xsi:type="dcterms:W3CDTF">2026-10-08T14:03:26Z</dcterms:modified>
</cp:coreProperties>
</file>