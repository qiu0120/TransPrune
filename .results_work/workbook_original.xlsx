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9581cb9d9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实验" sheetId="1" r:id="Ree9901ba27844d3e"/>
    <x:sheet xmlns:r="http://schemas.openxmlformats.org/officeDocument/2006/relationships" name="MME分项" sheetId="2" r:id="R41484bb1c7274cf1"/>
    <x:sheet xmlns:r="http://schemas.openxmlformats.org/officeDocument/2006/relationships" name="效率" sheetId="3" r:id="Rb954accc46084cf8"/>
    <x:sheet xmlns:r="http://schemas.openxmlformats.org/officeDocument/2006/relationships" name="消融" sheetId="4" r:id="R0a6a3b6c6bfd45bf"/>
    <x:sheet xmlns:r="http://schemas.openxmlformats.org/officeDocument/2006/relationships" name="实验安排" sheetId="5" r:id="R4fc7ea2b23d7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"/>
    <x:numFmt numFmtId="201" formatCode="0.0%"/>
    <x:numFmt numFmtId="202" formatCode="0.00"/>
    <x:numFmt numFmtId="203" formatCode="+0.00;-0.00;0.00"/>
    <x:numFmt numFmtId="204" formatCode="0"/>
    <x:numFmt numFmtId="205" formatCode="@"/>
    <x:numFmt numFmtId="206" formatCode="0.00&quot;x&quot;"/>
  </x:numFmts>
  <x:fonts count="7">
    <x:font>
      <x:sz val="11"/>
      <x:name val="Carlito"/>
    </x:font>
    <x:font>
      <x:sz val="11"/>
      <x:color rgb="FF203047"/>
      <x:name val="Microsoft YaHei"/>
    </x:font>
    <x:font>
      <x:b/>
      <x:sz val="16"/>
      <x:color rgb="FF263C59"/>
      <x:name val="Microsoft YaHei"/>
    </x:font>
    <x:font>
      <x:sz val="10"/>
      <x:color rgb="FF526477"/>
      <x:name val="Microsoft YaHei"/>
    </x:font>
    <x:font>
      <x:b/>
      <x:sz val="11"/>
      <x:color rgb="FFFFFFFF"/>
      <x:name val="Microsoft YaHei"/>
    </x:font>
    <x:font>
      <x:b/>
      <x:sz val="11"/>
      <x:color rgb="FF263C59"/>
      <x:name val="Microsoft YaHei"/>
    </x:font>
    <x:font>
      <x:b/>
      <x:sz val="11"/>
      <x:color rgb="FF20304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63C59"/>
      </x:patternFill>
    </x:fill>
    <x:fill>
      <x:patternFill patternType="solid">
        <x:fgColor rgb="FFFFF2CC"/>
      </x:patternFill>
    </x:fill>
    <x:fill>
      <x:patternFill patternType="solid">
        <x:fgColor rgb="FFEAF0F7"/>
      </x:patternFill>
    </x:fill>
  </x:fills>
  <x:borders count="2">
    <x:border/>
    <x:border>
      <x:bottom style="thin">
        <x:color rgb="FFB8C5D4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6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5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6ae7fc2f64dad" /><Relationship Type="http://schemas.openxmlformats.org/officeDocument/2006/relationships/theme" Target="/xl/theme/theme1.xml" Id="R78abbaae4ceb480b" /><Relationship Type="http://schemas.openxmlformats.org/officeDocument/2006/relationships/sharedStrings" Target="/xl/sharedStrings.xml" Id="Rdbbc9050784c4a28" /><Relationship Type="http://schemas.openxmlformats.org/officeDocument/2006/relationships/worksheet" Target="/xl/worksheets/sheet1.xml" Id="Ree9901ba27844d3e" /><Relationship Type="http://schemas.openxmlformats.org/officeDocument/2006/relationships/worksheet" Target="/xl/worksheets/sheet2.xml" Id="R41484bb1c7274cf1" /><Relationship Type="http://schemas.openxmlformats.org/officeDocument/2006/relationships/worksheet" Target="/xl/worksheets/sheet3.xml" Id="Rb954accc46084cf8" /><Relationship Type="http://schemas.openxmlformats.org/officeDocument/2006/relationships/worksheet" Target="/xl/worksheets/sheet4.xml" Id="R0a6a3b6c6bfd45bf" /><Relationship Type="http://schemas.openxmlformats.org/officeDocument/2006/relationships/worksheet" Target="/xl/worksheets/sheet5.xml" Id="R4fc7ea2b23d747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C5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2" hidden="0" customWidth="1"/>
    <x:col min="4" max="4" width="14" hidden="0" customWidth="1"/>
    <x:col min="5" max="5" width="17" hidden="0" customWidth="1"/>
    <x:col min="6" max="6" width="14" hidden="0" customWidth="1"/>
    <x:col min="7" max="7" width="12" hidden="0" customWidth="1"/>
    <x:col min="8" max="8" width="12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TransPrune 主实验记录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4" customHeight="1">
      <x:c r="A4" s="5" t="str">
        <x:v>填写浅黄色单元格；浅蓝色为自动计算。空白表示未测，不代表 0 分。所有实测结果均待填。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2" customHeight="1">
      <x:c r="A6" s="9" t="str">
        <x:v>方法</x:v>
      </x:c>
      <x:c r="B6" s="9" t="str">
        <x:v>数据来源</x:v>
      </x:c>
      <x:c r="C6" s="9" t="str">
        <x:v>TFLOPs</x:v>
      </x:c>
      <x:c r="D6" s="9" t="str">
        <x:v>计算量占比</x:v>
      </x:c>
      <x:c r="E6" s="9" t="str">
        <x:v>汇总相对性能</x:v>
      </x:c>
      <x:c r="F6" s="9" t="str">
        <x:v>MME 感知分</x:v>
      </x:c>
      <x:c r="G6" s="9" t="str">
        <x:v>VQAv2</x:v>
      </x:c>
      <x:c r="H6" s="9" t="str">
        <x:v>SEED 图片</x:v>
      </x:c>
      <x:c r="I6" s="9" t="str">
        <x:v>TextVQA</x:v>
      </x:c>
      <x:c r="J6" s="9" t="str">
        <x:v>SQA 图片</x:v>
      </x:c>
      <x:c r="K6" s="9" t="str">
        <x:v>POPE</x:v>
      </x:c>
      <x:c r="L6" s="9" t="str">
        <x:v>GQA</x:v>
      </x:c>
      <x:c r="M6" s="9" t="str">
        <x:v>MMBench 英文</x:v>
      </x:c>
      <x:c r="N6" s="9" t="str">
        <x:v>结果状态</x:v>
      </x:c>
    </x:row>
    <x:row r="7" ht="24" customHeight="1">
      <x:c r="A7" s="2" t="str">
        <x:v>原模型</x:v>
      </x:c>
      <x:c r="B7" s="2" t="str">
        <x:v>本次实测</x:v>
      </x:c>
      <x:c r="C7" s="15" t="str">
        <x:f>IF(ISNUMBER('效率'!D7),'效率'!D7,"")</x:f>
      </x:c>
      <x:c r="D7" s="14" t="str">
        <x:f>IF(COUNT(C7,$C$7)&lt;2,"",IF($C$7=0,"",C7/$C$7))</x:f>
      </x:c>
      <x:c r="E7" s="14" t="str">
        <x:f>IF(AND(COUNT(F7:M7)=8,COUNT($F$7:$M$7)=8,MIN($F$7:$M$7)&gt;0),AVERAGE(F7/F$7,G7/G$7,H7/H$7,I7/I$7,J7/J$7,K7/K$7,L7/L$7,M7/M$7),"")</x:f>
      </x:c>
      <x:c r="F7" s="15" t="str">
        <x:f>IF(ISNUMBER('MME分项'!C7),'MME分项'!C7,"")</x:f>
      </x:c>
      <x:c r="G7" s="11"/>
      <x:c r="H7" s="11"/>
      <x:c r="I7" s="11"/>
      <x:c r="J7" s="11"/>
      <x:c r="K7" s="11"/>
      <x:c r="L7" s="11"/>
      <x:c r="M7" s="11"/>
      <x:c r="N7" s="2" t="str">
        <x:f>IF(COUNT(F7:M7)=0,"待录入",IF(COUNT(F7:M7)=8,"八项已录入","部分已录入"))</x:f>
        <x:v>待录入</x:v>
      </x:c>
    </x:row>
    <x:row r="8" ht="24" customHeight="1">
      <x:c r="A8" s="2" t="str">
        <x:v>TransPrune-High</x:v>
      </x:c>
      <x:c r="B8" s="2" t="str">
        <x:v>本次实测</x:v>
      </x:c>
      <x:c r="C8" s="15" t="str">
        <x:f>IF(ISNUMBER('效率'!D8),'效率'!D8,"")</x:f>
      </x:c>
      <x:c r="D8" s="14" t="str">
        <x:f>IF(COUNT(C8,$C$7)&lt;2,"",IF($C$7=0,"",C8/$C$7))</x:f>
      </x:c>
      <x:c r="E8" s="14" t="str">
        <x:f>IF(AND(COUNT(F8:M8)=8,COUNT($F$7:$M$7)=8,MIN($F$7:$M$7)&gt;0),AVERAGE(F8/F$7,G8/G$7,H8/H$7,I8/I$7,J8/J$7,K8/K$7,L8/L$7,M8/M$7),"")</x:f>
      </x:c>
      <x:c r="F8" s="15" t="str">
        <x:f>IF(ISNUMBER('MME分项'!C8),'MME分项'!C8,"")</x:f>
      </x:c>
      <x:c r="G8" s="11"/>
      <x:c r="H8" s="11"/>
      <x:c r="I8" s="11"/>
      <x:c r="J8" s="11"/>
      <x:c r="K8" s="11"/>
      <x:c r="L8" s="11"/>
      <x:c r="M8" s="11"/>
      <x:c r="N8" s="2" t="str">
        <x:f>IF(COUNT(F8:M8)=0,"待录入",IF(COUNT(F8:M8)=8,"八项已录入","部分已录入"))</x:f>
        <x:v>待录入</x:v>
      </x:c>
    </x:row>
    <x:row r="9" ht="24" customHeight="1">
      <x:c r="A9" s="2" t="str">
        <x:v>TransPrune-Low</x:v>
      </x:c>
      <x:c r="B9" s="2" t="str">
        <x:v>本次实测</x:v>
      </x:c>
      <x:c r="C9" s="15" t="str">
        <x:f>IF(ISNUMBER('效率'!D9),'效率'!D9,"")</x:f>
      </x:c>
      <x:c r="D9" s="14" t="str">
        <x:f>IF(COUNT(C9,$C$7)&lt;2,"",IF($C$7=0,"",C9/$C$7))</x:f>
      </x:c>
      <x:c r="E9" s="14" t="str">
        <x:f>IF(AND(COUNT(F9:M9)=8,COUNT($F$7:$M$7)=8,MIN($F$7:$M$7)&gt;0),AVERAGE(F9/F$7,G9/G$7,H9/H$7,I9/I$7,J9/J$7,K9/K$7,L9/L$7,M9/M$7),"")</x:f>
      </x:c>
      <x:c r="F9" s="15" t="str">
        <x:f>IF(ISNUMBER('MME分项'!C9),'MME分项'!C9,"")</x:f>
      </x:c>
      <x:c r="G9" s="11"/>
      <x:c r="H9" s="11"/>
      <x:c r="I9" s="11"/>
      <x:c r="J9" s="11"/>
      <x:c r="K9" s="11"/>
      <x:c r="L9" s="11"/>
      <x:c r="M9" s="11"/>
      <x:c r="N9" s="2" t="str">
        <x:f>IF(COUNT(F9:M9)=0,"待录入",IF(COUNT(F9:M9)=8,"八项已录入","部分已录入"))</x:f>
        <x:v>待录入</x:v>
      </x:c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4" customHeight="1">
      <x:c r="A11" s="5" t="str">
        <x:v>MME 感知分从“MME分项”自动汇总；TFLOPs 从“效率”读取。其他七项直接填写评分器的 0–100 数值，如 58.2。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4" customHeight="1">
      <x:c r="A12" s="5" t="str">
        <x:v>汇总相对性能 = 八项“当前方法实测分数 ÷ 本次原模型分数”的平均值；八项不齐时留空。不是答题准确率。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4" customHeight="1">
      <x:c r="A13" s="5" t="str">
        <x:v>当前顺序：先完成 MME 三组，再做 TextVQA；其余基准用于补齐论文表 1。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4" customHeight="1">
      <x:c r="A16" s="16" t="str">
        <x:v>论文参考值：表 1，LLaVA-v1.5-7B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4" customHeight="1">
      <x:c r="A17" s="5" t="str">
        <x:v>来源：TransPrune，CVPR 2026，表 1，PDF 第 5 页。https://openaccess.thecvf.com/content/CVPR2026/papers/Li_TransPrune_Token_Transition_Pruning_for_Efficient_Large_Vision-Language_Model_CVPR_2026_paper.pdf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42" customHeight="1">
      <x:c r="A19" s="9" t="str">
        <x:v>方法</x:v>
      </x:c>
      <x:c r="B19" s="9" t="str">
        <x:v>数据来源</x:v>
      </x:c>
      <x:c r="C19" s="9" t="str">
        <x:v>TFLOPs</x:v>
      </x:c>
      <x:c r="D19" s="9" t="str">
        <x:v>计算量占比</x:v>
      </x:c>
      <x:c r="E19" s="9" t="str">
        <x:v>汇总相对性能</x:v>
      </x:c>
      <x:c r="F19" s="9" t="str">
        <x:v>MME 感知分</x:v>
      </x:c>
      <x:c r="G19" s="9" t="str">
        <x:v>VQAv2</x:v>
      </x:c>
      <x:c r="H19" s="9" t="str">
        <x:v>SEED 图片</x:v>
      </x:c>
      <x:c r="I19" s="9" t="str">
        <x:v>TextVQA</x:v>
      </x:c>
      <x:c r="J19" s="9" t="str">
        <x:v>SQA 图片</x:v>
      </x:c>
      <x:c r="K19" s="9" t="str">
        <x:v>POPE</x:v>
      </x:c>
      <x:c r="L19" s="9" t="str">
        <x:v>GQA</x:v>
      </x:c>
      <x:c r="M19" s="9" t="str">
        <x:v>MMBench 英文</x:v>
      </x:c>
      <x:c r="N19" s="9" t="str">
        <x:v>配置说明</x:v>
      </x:c>
    </x:row>
    <x:row r="20" ht="24" customHeight="1">
      <x:c r="A20" s="2" t="str">
        <x:v>原模型</x:v>
      </x:c>
      <x:c r="B20" s="2" t="str">
        <x:v>论文</x:v>
      </x:c>
      <x:c r="C20" s="17" t="n">
        <x:v>3.82</x:v>
      </x:c>
      <x:c r="D20" s="18" t="n">
        <x:v>1</x:v>
      </x:c>
      <x:c r="E20" s="18" t="n">
        <x:v>1</x:v>
      </x:c>
      <x:c r="F20" s="2" t="n">
        <x:v>1506</x:v>
      </x:c>
      <x:c r="G20" s="19" t="n">
        <x:v>78.5</x:v>
      </x:c>
      <x:c r="H20" s="19" t="n">
        <x:v>66.2</x:v>
      </x:c>
      <x:c r="I20" s="19" t="n">
        <x:v>58.2</x:v>
      </x:c>
      <x:c r="J20" s="19" t="n">
        <x:v>69.5</x:v>
      </x:c>
      <x:c r="K20" s="19" t="n">
        <x:v>85.9</x:v>
      </x:c>
      <x:c r="L20" s="19" t="n">
        <x:v>61.9</x:v>
      </x:c>
      <x:c r="M20" s="19" t="n">
        <x:v>64.6</x:v>
      </x:c>
      <x:c r="N20" s="2" t="str">
        <x:v>无剪枝</x:v>
      </x:c>
    </x:row>
    <x:row r="21" ht="24" customHeight="1">
      <x:c r="A21" s="2" t="str">
        <x:v>FastV</x:v>
      </x:c>
      <x:c r="B21" s="2" t="str">
        <x:v>论文</x:v>
      </x:c>
      <x:c r="C21" s="17" t="n">
        <x:v>2.01</x:v>
      </x:c>
      <x:c r="D21" s="18" t="n">
        <x:v>0.526</x:v>
      </x:c>
      <x:c r="E21" s="18" t="n">
        <x:v>0.978</x:v>
      </x:c>
      <x:c r="F21" s="2" t="n">
        <x:v>1474</x:v>
      </x:c>
      <x:c r="G21" s="19" t="n">
        <x:v>77</x:v>
      </x:c>
      <x:c r="H21" s="19" t="n">
        <x:v>64</x:v>
      </x:c>
      <x:c r="I21" s="19" t="n">
        <x:v>57.2</x:v>
      </x:c>
      <x:c r="J21" s="19" t="n">
        <x:v>68.5</x:v>
      </x:c>
      <x:c r="K21" s="19" t="n">
        <x:v>84</x:v>
      </x:c>
      <x:c r="L21" s="19" t="n">
        <x:v>59.4</x:v>
      </x:c>
      <x:c r="M21" s="19" t="n">
        <x:v>64.2</x:v>
      </x:c>
      <x:c r="N21" s="2" t="str">
        <x:v>K=2，R=0.5</x:v>
      </x:c>
    </x:row>
    <x:row r="22" ht="24" customHeight="1">
      <x:c r="A22" s="2" t="str">
        <x:v>PDrop</x:v>
      </x:c>
      <x:c r="B22" s="2" t="str">
        <x:v>论文</x:v>
      </x:c>
      <x:c r="C22" s="17" t="n">
        <x:v>1.78</x:v>
      </x:c>
      <x:c r="D22" s="18" t="n">
        <x:v>0.466</x:v>
      </x:c>
      <x:c r="E22" s="18" t="n">
        <x:v>0.988</x:v>
      </x:c>
      <x:c r="F22" s="2" t="n">
        <x:v>1500</x:v>
      </x:c>
      <x:c r="G22" s="19" t="n">
        <x:v>77.7</x:v>
      </x:c>
      <x:c r="H22" s="19" t="n">
        <x:v>64.3</x:v>
      </x:c>
      <x:c r="I22" s="19" t="n">
        <x:v>57.5</x:v>
      </x:c>
      <x:c r="J22" s="19" t="n">
        <x:v>69.4</x:v>
      </x:c>
      <x:c r="K22" s="19" t="n">
        <x:v>84.8</x:v>
      </x:c>
      <x:c r="L22" s="19" t="n">
        <x:v>60.1</x:v>
      </x:c>
      <x:c r="M22" s="19" t="n">
        <x:v>64.9</x:v>
      </x:c>
      <x:c r="N22" s="2" t="str">
        <x:v>较温和预算</x:v>
      </x:c>
    </x:row>
    <x:row r="23" ht="24" customHeight="1">
      <x:c r="A23" s="2" t="str">
        <x:v>SparseVLM</x:v>
      </x:c>
      <x:c r="B23" s="2" t="str">
        <x:v>论文</x:v>
      </x:c>
      <x:c r="C23" s="17" t="n">
        <x:v>1.57</x:v>
      </x:c>
      <x:c r="D23" s="18" t="n">
        <x:v>0.411</x:v>
      </x:c>
      <x:c r="E23" s="18" t="n">
        <x:v>0.988</x:v>
      </x:c>
      <x:c r="F23" s="2" t="n">
        <x:v>1484</x:v>
      </x:c>
      <x:c r="G23" s="19" t="n">
        <x:v>77.6</x:v>
      </x:c>
      <x:c r="H23" s="19" t="n">
        <x:v>64.9</x:v>
      </x:c>
      <x:c r="I23" s="19" t="n">
        <x:v>58</x:v>
      </x:c>
      <x:c r="J23" s="19" t="n">
        <x:v>67.7</x:v>
      </x:c>
      <x:c r="K23" s="19" t="n">
        <x:v>85.7</x:v>
      </x:c>
      <x:c r="L23" s="19" t="n">
        <x:v>60.6</x:v>
      </x:c>
      <x:c r="M23" s="19" t="n">
        <x:v>64.7</x:v>
      </x:c>
      <x:c r="N23" s="2" t="str">
        <x:v>较温和预算</x:v>
      </x:c>
    </x:row>
    <x:row r="24" ht="24" customHeight="1">
      <x:c r="A24" s="2" t="str">
        <x:v>TransPrune-High</x:v>
      </x:c>
      <x:c r="B24" s="2" t="str">
        <x:v>论文</x:v>
      </x:c>
      <x:c r="C24" s="17" t="n">
        <x:v>1.56</x:v>
      </x:c>
      <x:c r="D24" s="18" t="n">
        <x:v>0.408</x:v>
      </x:c>
      <x:c r="E24" s="18" t="n">
        <x:v>1</x:v>
      </x:c>
      <x:c r="F24" s="2" t="n">
        <x:v>1540</x:v>
      </x:c>
      <x:c r="G24" s="19" t="n">
        <x:v>77.9</x:v>
      </x:c>
      <x:c r="H24" s="19" t="n">
        <x:v>65.7</x:v>
      </x:c>
      <x:c r="I24" s="19" t="n">
        <x:v>57.8</x:v>
      </x:c>
      <x:c r="J24" s="19" t="n">
        <x:v>69.5</x:v>
      </x:c>
      <x:c r="K24" s="19" t="n">
        <x:v>85</x:v>
      </x:c>
      <x:c r="L24" s="19" t="n">
        <x:v>61.4</x:v>
      </x:c>
      <x:c r="M24" s="19" t="n">
        <x:v>66</x:v>
      </x:c>
      <x:c r="N24" s="2" t="str">
        <x:v>High</x:v>
      </x:c>
    </x:row>
    <x:row r="25" ht="24" customHeight="1">
      <x:c r="A25" s="2" t="str">
        <x:v>TransPrune-Low</x:v>
      </x:c>
      <x:c r="B25" s="2" t="str">
        <x:v>论文</x:v>
      </x:c>
      <x:c r="C25" s="17" t="n">
        <x:v>1.19</x:v>
      </x:c>
      <x:c r="D25" s="18" t="n">
        <x:v>0.312</x:v>
      </x:c>
      <x:c r="E25" s="18" t="n">
        <x:v>0.984</x:v>
      </x:c>
      <x:c r="F25" s="2" t="n">
        <x:v>1491</x:v>
      </x:c>
      <x:c r="G25" s="19" t="n">
        <x:v>76.6</x:v>
      </x:c>
      <x:c r="H25" s="19" t="n">
        <x:v>64.2</x:v>
      </x:c>
      <x:c r="I25" s="19" t="n">
        <x:v>56.5</x:v>
      </x:c>
      <x:c r="J25" s="19" t="n">
        <x:v>68.7</x:v>
      </x:c>
      <x:c r="K25" s="19" t="n">
        <x:v>85.1</x:v>
      </x:c>
      <x:c r="L25" s="19" t="n">
        <x:v>60</x:v>
      </x:c>
      <x:c r="M25" s="19" t="n">
        <x:v>65.6</x:v>
      </x:c>
      <x:c r="N25" s="2" t="str">
        <x:v>Low</x:v>
      </x:c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16" t="str">
        <x:v>与论文同方法的差值：实测减论文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42" customHeight="1">
      <x:c r="A30" s="9" t="str">
        <x:v>方法</x:v>
      </x:c>
      <x:c r="B30" s="9" t="str">
        <x:v>MME 感知分差</x:v>
      </x:c>
      <x:c r="C30" s="9" t="str">
        <x:v>VQAv2 差</x:v>
      </x:c>
      <x:c r="D30" s="9" t="str">
        <x:v>SEED 差</x:v>
      </x:c>
      <x:c r="E30" s="9" t="str">
        <x:v>TextVQA 差</x:v>
      </x:c>
      <x:c r="F30" s="9" t="str">
        <x:v>SQA 差</x:v>
      </x:c>
      <x:c r="G30" s="9" t="str">
        <x:v>POPE 差</x:v>
      </x:c>
      <x:c r="H30" s="9" t="str">
        <x:v>GQA 差</x:v>
      </x:c>
      <x:c r="I30" s="9" t="str">
        <x:v>MMBench 差</x:v>
      </x:c>
      <x:c r="J30" s="9" t="str">
        <x:v>TFLOPs 差</x:v>
      </x:c>
      <x:c r="K30" s="2"/>
      <x:c r="L30" s="2"/>
      <x:c r="M30" s="2"/>
      <x:c r="N30" s="2"/>
    </x:row>
    <x:row r="31" ht="24" customHeight="1">
      <x:c r="A31" s="2" t="str">
        <x:v>原模型</x:v>
      </x:c>
      <x:c r="B31" s="20" t="str">
        <x:f>IF(ISNUMBER(F7),F7-F20,"")</x:f>
      </x:c>
      <x:c r="C31" s="20" t="str">
        <x:f>IF(ISNUMBER(G7),G7-G20,"")</x:f>
      </x:c>
      <x:c r="D31" s="20" t="str">
        <x:f>IF(ISNUMBER(H7),H7-H20,"")</x:f>
      </x:c>
      <x:c r="E31" s="20" t="str">
        <x:f>IF(ISNUMBER(I7),I7-I20,"")</x:f>
      </x:c>
      <x:c r="F31" s="20" t="str">
        <x:f>IF(ISNUMBER(J7),J7-J20,"")</x:f>
      </x:c>
      <x:c r="G31" s="20" t="str">
        <x:f>IF(ISNUMBER(K7),K7-K20,"")</x:f>
      </x:c>
      <x:c r="H31" s="20" t="str">
        <x:f>IF(ISNUMBER(L7),L7-L20,"")</x:f>
      </x:c>
      <x:c r="I31" s="20" t="str">
        <x:f>IF(ISNUMBER(M7),M7-M20,"")</x:f>
      </x:c>
      <x:c r="J31" s="20" t="str">
        <x:f>IF(ISNUMBER(C7),C7-C20,"")</x:f>
      </x:c>
      <x:c r="K31" s="2"/>
      <x:c r="L31" s="2"/>
      <x:c r="M31" s="2"/>
      <x:c r="N31" s="2"/>
    </x:row>
    <x:row r="32" ht="24" customHeight="1">
      <x:c r="A32" s="2" t="str">
        <x:v>TransPrune-High</x:v>
      </x:c>
      <x:c r="B32" s="20" t="str">
        <x:f>IF(ISNUMBER(F8),F8-F24,"")</x:f>
      </x:c>
      <x:c r="C32" s="20" t="str">
        <x:f>IF(ISNUMBER(G8),G8-G24,"")</x:f>
      </x:c>
      <x:c r="D32" s="20" t="str">
        <x:f>IF(ISNUMBER(H8),H8-H24,"")</x:f>
      </x:c>
      <x:c r="E32" s="20" t="str">
        <x:f>IF(ISNUMBER(I8),I8-I24,"")</x:f>
      </x:c>
      <x:c r="F32" s="20" t="str">
        <x:f>IF(ISNUMBER(J8),J8-J24,"")</x:f>
      </x:c>
      <x:c r="G32" s="20" t="str">
        <x:f>IF(ISNUMBER(K8),K8-K24,"")</x:f>
      </x:c>
      <x:c r="H32" s="20" t="str">
        <x:f>IF(ISNUMBER(L8),L8-L24,"")</x:f>
      </x:c>
      <x:c r="I32" s="20" t="str">
        <x:f>IF(ISNUMBER(M8),M8-M24,"")</x:f>
      </x:c>
      <x:c r="J32" s="20" t="str">
        <x:f>IF(ISNUMBER(C8),C8-C24,"")</x:f>
      </x:c>
      <x:c r="K32" s="2"/>
      <x:c r="L32" s="2"/>
      <x:c r="M32" s="2"/>
      <x:c r="N32" s="2"/>
    </x:row>
    <x:row r="33" ht="24" customHeight="1">
      <x:c r="A33" s="2" t="str">
        <x:v>TransPrune-Low</x:v>
      </x:c>
      <x:c r="B33" s="20" t="str">
        <x:f>IF(ISNUMBER(F9),F9-F25,"")</x:f>
      </x:c>
      <x:c r="C33" s="20" t="str">
        <x:f>IF(ISNUMBER(G9),G9-G25,"")</x:f>
      </x:c>
      <x:c r="D33" s="20" t="str">
        <x:f>IF(ISNUMBER(H9),H9-H25,"")</x:f>
      </x:c>
      <x:c r="E33" s="20" t="str">
        <x:f>IF(ISNUMBER(I9),I9-I25,"")</x:f>
      </x:c>
      <x:c r="F33" s="20" t="str">
        <x:f>IF(ISNUMBER(J9),J9-J25,"")</x:f>
      </x:c>
      <x:c r="G33" s="20" t="str">
        <x:f>IF(ISNUMBER(K9),K9-K25,"")</x:f>
      </x:c>
      <x:c r="H33" s="20" t="str">
        <x:f>IF(ISNUMBER(L9),L9-L25,"")</x:f>
      </x:c>
      <x:c r="I33" s="20" t="str">
        <x:f>IF(ISNUMBER(M9),M9-M25,"")</x:f>
      </x:c>
      <x:c r="J33" s="20" t="str">
        <x:f>IF(ISNUMBER(C9),C9-C25,"")</x:f>
      </x:c>
      <x:c r="K33" s="2"/>
      <x:c r="L33" s="2"/>
      <x:c r="M33" s="2"/>
      <x:c r="N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5" t="str">
        <x:v>正值表示实测更高。准确率类差值按百分点解释；MME 为分数差。TFLOPs 越低越好，其余表中指标越高越好。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63C59"/>
  </x:sheetPr>
  <x:sheetViews>
    <x:sheetView showGridLines="0" workbookViewId="0">
      <x:pane xSplit="2" ySplit="14" topLeftCell="C15" activePane="bottomRight" state="frozen"/>
    </x:sheetView>
  </x:sheetViews>
  <x:sheetFormatPr defaultRowHeight="15"/>
  <x:cols>
    <x:col min="1" max="1" width="19" hidden="0" customWidth="1"/>
    <x:col min="2" max="2" width="27" hidden="0" customWidth="1"/>
    <x:col min="3" max="3" width="17" hidden="0" customWidth="1"/>
    <x:col min="4" max="4" width="18" hidden="0" customWidth="1"/>
    <x:col min="5" max="5" width="18" hidden="0" customWidth="1"/>
    <x:col min="6" max="6" width="19" hidden="0" customWidth="1"/>
    <x:col min="7" max="7" width="16" hidden="0" customWidth="1"/>
    <x:col min="8" max="8" width="2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MME 评分记录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24" customHeight="1">
      <x:c r="A4" s="5" t="str">
        <x:v>将 calculation.py 输出的各类别总分填入下表黄色格；不是单独的 acc 或 acc_plus。汇总会自动更新主实验。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42" customHeight="1">
      <x:c r="A6" s="9" t="str">
        <x:v>方法</x:v>
      </x:c>
      <x:c r="B6" s="9" t="str">
        <x:v>论文感知分</x:v>
      </x:c>
      <x:c r="C6" s="9" t="str">
        <x:v>实测感知分</x:v>
      </x:c>
      <x:c r="D6" s="9" t="str">
        <x:v>实测认知分</x:v>
      </x:c>
      <x:c r="E6" s="9" t="str">
        <x:v>与论文感知分差</x:v>
      </x:c>
      <x:c r="F6" s="9" t="str">
        <x:v>感知分/本次原模型</x:v>
      </x:c>
      <x:c r="G6" s="9" t="str">
        <x:v>预测题数</x:v>
      </x:c>
      <x:c r="H6" s="9" t="str">
        <x:v>状态</x:v>
      </x:c>
    </x:row>
    <x:row r="7" ht="24" customHeight="1">
      <x:c r="A7" s="2" t="str">
        <x:v>原模型</x:v>
      </x:c>
      <x:c r="B7" s="15" t="n">
        <x:f>'主实验'!F20</x:f>
        <x:v>1506</x:v>
      </x:c>
      <x:c r="C7" s="15" t="str">
        <x:f>IF(COUNT(D15:D24)=10,SUM(D15:D24),"")</x:f>
      </x:c>
      <x:c r="D7" s="15" t="str">
        <x:f>IF(COUNT(D25:D28)=4,SUM(D25:D28),"")</x:f>
      </x:c>
      <x:c r="E7" s="15" t="str">
        <x:f>IF(ISNUMBER(C7),C7-B7,"")</x:f>
      </x:c>
      <x:c r="F7" s="14" t="str">
        <x:f>IF(COUNT(C7,$C$7)&lt;2,"",IF($C$7=0,"",C7/$C$7))</x:f>
      </x:c>
      <x:c r="G7" s="21"/>
      <x:c r="H7" s="22" t="str">
        <x:v>待确认</x:v>
      </x:c>
    </x:row>
    <x:row r="8" ht="24" customHeight="1">
      <x:c r="A8" s="2" t="str">
        <x:v>TransPrune-High</x:v>
      </x:c>
      <x:c r="B8" s="15" t="n">
        <x:f>'主实验'!F24</x:f>
        <x:v>1540</x:v>
      </x:c>
      <x:c r="C8" s="15" t="str">
        <x:f>IF(COUNT(E15:E24)=10,SUM(E15:E24),"")</x:f>
      </x:c>
      <x:c r="D8" s="15" t="str">
        <x:f>IF(COUNT(E25:E28)=4,SUM(E25:E28),"")</x:f>
      </x:c>
      <x:c r="E8" s="15" t="str">
        <x:f>IF(ISNUMBER(C8),C8-B8,"")</x:f>
      </x:c>
      <x:c r="F8" s="14" t="str">
        <x:f>IF(COUNT(C8,$C$7)&lt;2,"",IF($C$7=0,"",C8/$C$7))</x:f>
      </x:c>
      <x:c r="G8" s="21"/>
      <x:c r="H8" s="22" t="str">
        <x:v>待运行</x:v>
      </x:c>
    </x:row>
    <x:row r="9" ht="24" customHeight="1">
      <x:c r="A9" s="2" t="str">
        <x:v>TransPrune-Low</x:v>
      </x:c>
      <x:c r="B9" s="15" t="n">
        <x:f>'主实验'!F25</x:f>
        <x:v>1491</x:v>
      </x:c>
      <x:c r="C9" s="15" t="str">
        <x:f>IF(COUNT(F15:F24)=10,SUM(F15:F24),"")</x:f>
      </x:c>
      <x:c r="D9" s="15" t="str">
        <x:f>IF(COUNT(F25:F28)=4,SUM(F25:F28),"")</x:f>
      </x:c>
      <x:c r="E9" s="15" t="str">
        <x:f>IF(ISNUMBER(C9),C9-B9,"")</x:f>
      </x:c>
      <x:c r="F9" s="14" t="str">
        <x:f>IF(COUNT(C9,$C$7)&lt;2,"",IF($C$7=0,"",C9/$C$7))</x:f>
      </x:c>
      <x:c r="G9" s="21"/>
      <x:c r="H9" s="22" t="str">
        <x:v>待运行</x:v>
      </x:c>
    </x:row>
    <x:row r="10" ht="24" customHeight="1">
      <x:c r="A10" s="2"/>
      <x:c r="B10" s="2"/>
      <x:c r="C10" s="2"/>
      <x:c r="D10" s="2"/>
      <x:c r="E10" s="2"/>
      <x:c r="F10" s="2"/>
      <x:c r="G10" s="2"/>
      <x:c r="H10" s="2"/>
    </x:row>
    <x:row r="11" ht="24" customHeight="1">
      <x:c r="A11" s="5" t="str">
        <x:v>当前尚未收到正式评分结果。原模型运行状态待确认；单图验证通过不能填作 MME 评测完成。</x:v>
      </x:c>
      <x:c r="B11" s="2"/>
      <x:c r="C11" s="2"/>
      <x:c r="D11" s="2"/>
      <x:c r="E11" s="2"/>
      <x:c r="F11" s="2"/>
      <x:c r="G11" s="2"/>
      <x:c r="H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</x:row>
    <x:row r="14" ht="42" customHeight="1">
      <x:c r="A14" s="9" t="str">
        <x:v>能力维度</x:v>
      </x:c>
      <x:c r="B14" s="9" t="str">
        <x:v>类别</x:v>
      </x:c>
      <x:c r="C14" s="9" t="str">
        <x:v>预期问题数</x:v>
      </x:c>
      <x:c r="D14" s="9" t="str">
        <x:v>原模型得分</x:v>
      </x:c>
      <x:c r="E14" s="9" t="str">
        <x:v>High 得分</x:v>
      </x:c>
      <x:c r="F14" s="9" t="str">
        <x:v>Low 得分</x:v>
      </x:c>
      <x:c r="G14" s="2"/>
      <x:c r="H14" s="2"/>
    </x:row>
    <x:row r="15" ht="24" customHeight="1">
      <x:c r="A15" s="2" t="str">
        <x:v>感知</x:v>
      </x:c>
      <x:c r="B15" s="2" t="str">
        <x:v>existence</x:v>
      </x:c>
      <x:c r="C15" s="2" t="n">
        <x:v>60</x:v>
      </x:c>
      <x:c r="D15" s="23"/>
      <x:c r="E15" s="23"/>
      <x:c r="F15" s="23"/>
      <x:c r="G15" s="2"/>
      <x:c r="H15" s="2"/>
    </x:row>
    <x:row r="16" ht="24" customHeight="1">
      <x:c r="A16" s="2" t="str">
        <x:v>感知</x:v>
      </x:c>
      <x:c r="B16" s="2" t="str">
        <x:v>count</x:v>
      </x:c>
      <x:c r="C16" s="2" t="n">
        <x:v>60</x:v>
      </x:c>
      <x:c r="D16" s="23"/>
      <x:c r="E16" s="23"/>
      <x:c r="F16" s="23"/>
      <x:c r="G16" s="2"/>
      <x:c r="H16" s="2"/>
    </x:row>
    <x:row r="17" ht="24" customHeight="1">
      <x:c r="A17" s="2" t="str">
        <x:v>感知</x:v>
      </x:c>
      <x:c r="B17" s="2" t="str">
        <x:v>position</x:v>
      </x:c>
      <x:c r="C17" s="2" t="n">
        <x:v>60</x:v>
      </x:c>
      <x:c r="D17" s="23"/>
      <x:c r="E17" s="23"/>
      <x:c r="F17" s="23"/>
      <x:c r="G17" s="2"/>
      <x:c r="H17" s="2"/>
    </x:row>
    <x:row r="18" ht="24" customHeight="1">
      <x:c r="A18" s="2" t="str">
        <x:v>感知</x:v>
      </x:c>
      <x:c r="B18" s="2" t="str">
        <x:v>color</x:v>
      </x:c>
      <x:c r="C18" s="2" t="n">
        <x:v>60</x:v>
      </x:c>
      <x:c r="D18" s="23"/>
      <x:c r="E18" s="23"/>
      <x:c r="F18" s="23"/>
      <x:c r="G18" s="2"/>
      <x:c r="H18" s="2"/>
    </x:row>
    <x:row r="19" ht="24" customHeight="1">
      <x:c r="A19" s="2" t="str">
        <x:v>感知</x:v>
      </x:c>
      <x:c r="B19" s="2" t="str">
        <x:v>posters</x:v>
      </x:c>
      <x:c r="C19" s="2" t="n">
        <x:v>294</x:v>
      </x:c>
      <x:c r="D19" s="23"/>
      <x:c r="E19" s="23"/>
      <x:c r="F19" s="23"/>
      <x:c r="G19" s="2"/>
      <x:c r="H19" s="2"/>
    </x:row>
    <x:row r="20" ht="24" customHeight="1">
      <x:c r="A20" s="2" t="str">
        <x:v>感知</x:v>
      </x:c>
      <x:c r="B20" s="2" t="str">
        <x:v>celebrity</x:v>
      </x:c>
      <x:c r="C20" s="2" t="n">
        <x:v>340</x:v>
      </x:c>
      <x:c r="D20" s="23"/>
      <x:c r="E20" s="23"/>
      <x:c r="F20" s="23"/>
      <x:c r="G20" s="2"/>
      <x:c r="H20" s="2"/>
    </x:row>
    <x:row r="21" ht="24" customHeight="1">
      <x:c r="A21" s="2" t="str">
        <x:v>感知</x:v>
      </x:c>
      <x:c r="B21" s="2" t="str">
        <x:v>scene</x:v>
      </x:c>
      <x:c r="C21" s="2" t="n">
        <x:v>400</x:v>
      </x:c>
      <x:c r="D21" s="23"/>
      <x:c r="E21" s="23"/>
      <x:c r="F21" s="23"/>
      <x:c r="G21" s="2"/>
      <x:c r="H21" s="2"/>
    </x:row>
    <x:row r="22" ht="24" customHeight="1">
      <x:c r="A22" s="2" t="str">
        <x:v>感知</x:v>
      </x:c>
      <x:c r="B22" s="2" t="str">
        <x:v>landmark</x:v>
      </x:c>
      <x:c r="C22" s="2" t="n">
        <x:v>400</x:v>
      </x:c>
      <x:c r="D22" s="23"/>
      <x:c r="E22" s="23"/>
      <x:c r="F22" s="23"/>
      <x:c r="G22" s="2"/>
      <x:c r="H22" s="2"/>
    </x:row>
    <x:row r="23" ht="24" customHeight="1">
      <x:c r="A23" s="2" t="str">
        <x:v>感知</x:v>
      </x:c>
      <x:c r="B23" s="2" t="str">
        <x:v>artwork</x:v>
      </x:c>
      <x:c r="C23" s="2" t="n">
        <x:v>400</x:v>
      </x:c>
      <x:c r="D23" s="23"/>
      <x:c r="E23" s="23"/>
      <x:c r="F23" s="23"/>
      <x:c r="G23" s="2"/>
      <x:c r="H23" s="2"/>
    </x:row>
    <x:row r="24" ht="24" customHeight="1">
      <x:c r="A24" s="2" t="str">
        <x:v>感知</x:v>
      </x:c>
      <x:c r="B24" s="2" t="str">
        <x:v>OCR</x:v>
      </x:c>
      <x:c r="C24" s="2" t="n">
        <x:v>40</x:v>
      </x:c>
      <x:c r="D24" s="23"/>
      <x:c r="E24" s="23"/>
      <x:c r="F24" s="23"/>
      <x:c r="G24" s="2"/>
      <x:c r="H24" s="2"/>
    </x:row>
    <x:row r="25" ht="24" customHeight="1">
      <x:c r="A25" s="2" t="str">
        <x:v>认知</x:v>
      </x:c>
      <x:c r="B25" s="2" t="str">
        <x:v>commonsense_reasoning</x:v>
      </x:c>
      <x:c r="C25" s="2" t="n">
        <x:v>140</x:v>
      </x:c>
      <x:c r="D25" s="23"/>
      <x:c r="E25" s="23"/>
      <x:c r="F25" s="23"/>
      <x:c r="G25" s="2"/>
      <x:c r="H25" s="2"/>
    </x:row>
    <x:row r="26" ht="24" customHeight="1">
      <x:c r="A26" s="2" t="str">
        <x:v>认知</x:v>
      </x:c>
      <x:c r="B26" s="2" t="str">
        <x:v>numerical_calculation</x:v>
      </x:c>
      <x:c r="C26" s="2" t="n">
        <x:v>40</x:v>
      </x:c>
      <x:c r="D26" s="23"/>
      <x:c r="E26" s="23"/>
      <x:c r="F26" s="23"/>
      <x:c r="G26" s="2"/>
      <x:c r="H26" s="2"/>
    </x:row>
    <x:row r="27" ht="24" customHeight="1">
      <x:c r="A27" s="2" t="str">
        <x:v>认知</x:v>
      </x:c>
      <x:c r="B27" s="2" t="str">
        <x:v>text_translation</x:v>
      </x:c>
      <x:c r="C27" s="2" t="n">
        <x:v>40</x:v>
      </x:c>
      <x:c r="D27" s="23"/>
      <x:c r="E27" s="23"/>
      <x:c r="F27" s="23"/>
      <x:c r="G27" s="2"/>
      <x:c r="H27" s="2"/>
    </x:row>
    <x:row r="28" ht="24" customHeight="1">
      <x:c r="A28" s="2" t="str">
        <x:v>认知</x:v>
      </x:c>
      <x:c r="B28" s="2" t="str">
        <x:v>code_reasoning</x:v>
      </x:c>
      <x:c r="C28" s="2" t="n">
        <x:v>40</x:v>
      </x:c>
      <x:c r="D28" s="23"/>
      <x:c r="E28" s="23"/>
      <x:c r="F28" s="23"/>
      <x:c r="G28" s="2"/>
      <x:c r="H28" s="2"/>
    </x:row>
    <x:row r="29" ht="24" customHeight="1">
      <x:c r="A29" s="2"/>
      <x:c r="B29" s="2" t="str">
        <x:v>问题合计</x:v>
      </x:c>
      <x:c r="C29" s="2" t="n">
        <x:f>SUM(C15:C28)</x:f>
        <x:v>2374</x:v>
      </x:c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5" t="str">
        <x:v>每类满分 200；感知 10 类满分 2000，认知 4 类满分 800。论文表 1 使用感知分，不将两者相加对比。</x:v>
      </x:c>
      <x:c r="B31" s="2"/>
      <x:c r="C31" s="2"/>
      <x:c r="D31" s="2"/>
      <x:c r="E31" s="2"/>
      <x:c r="F31" s="2"/>
      <x:c r="G31" s="2"/>
      <x:c r="H31" s="2"/>
    </x:row>
    <x:row r="32" ht="24" customHeight="1">
      <x:c r="A32" s="5" t="str">
        <x:v>来源：用户服务器检查输出（2374 题、1187 图）；正式实测结果待粘贴。</x:v>
      </x:c>
      <x:c r="B32" s="2"/>
      <x:c r="C32" s="2"/>
      <x:c r="D32" s="2"/>
      <x:c r="E32" s="2"/>
      <x:c r="F32" s="2"/>
      <x:c r="G32" s="2"/>
      <x:c r="H32" s="2"/>
    </x:row>
    <x:row r="33" ht="24" customHeight="1">
      <x:c r="A33" s="5" t="str">
        <x:v>评分日志位置：data/MME/logs/&lt;实验名&gt;_score.log；原始回答保存在 data/MME/answers/。</x:v>
      </x:c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</x:sheetData>
  <x:dataValidations count="2">
    <x:dataValidation type="list" sqref="H7:H9">
      <x:formula1>"待准备,待运行,运行中,待确认,已完成,待修复,暂不开展"</x:formula1>
    </x:dataValidation>
    <x:dataValidation type="decimal" operator="between" sqref="D15:F28">
      <x:formula1>0</x:formula1>
      <x:formula2>200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63C59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3" hidden="0" customWidth="1"/>
    <x:col min="5" max="5" width="16" hidden="0" customWidth="1"/>
    <x:col min="6" max="6" width="16" hidden="0" customWidth="1"/>
    <x:col min="7" max="7" width="18" hidden="0" customWidth="1"/>
    <x:col min="8" max="8" width="19" hidden="0" customWidth="1"/>
    <x:col min="9" max="9" width="19" hidden="0" customWidth="1"/>
    <x:col min="10" max="10" width="15" hidden="0" customWidth="1"/>
    <x:col min="11" max="11" width="13" hidden="0" customWidth="1"/>
    <x:col min="12" max="12" width="17" hidden="0" customWidth="1"/>
    <x:col min="13" max="13" width="2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效率测量记录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4" customHeight="1">
      <x:c r="A4" s="5" t="str">
        <x:v>黄色格填写正式测量结果；已验证的 token 数为配置记录。13.22 GiB 加载占用和调试计时不作为正式峰值/延迟。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2" customHeight="1">
      <x:c r="A6" s="9" t="str">
        <x:v>方法</x:v>
      </x:c>
      <x:c r="B6" s="9" t="str">
        <x:v>初始视觉 token</x:v>
      </x:c>
      <x:c r="C6" s="9" t="str">
        <x:v>最终视觉 token</x:v>
      </x:c>
      <x:c r="D6" s="9" t="str">
        <x:v>实测 TFLOPs</x:v>
      </x:c>
      <x:c r="E6" s="9" t="str">
        <x:v>Prefill 均值 ms</x:v>
      </x:c>
      <x:c r="F6" s="9" t="str">
        <x:v>Decode 均值 ms</x:v>
      </x:c>
      <x:c r="G6" s="9" t="str">
        <x:v>端到端均值 ms</x:v>
      </x:c>
      <x:c r="H6" s="9" t="str">
        <x:v>峰值 allocated GiB</x:v>
      </x:c>
      <x:c r="I6" s="9" t="str">
        <x:v>峰值 reserved GiB</x:v>
      </x:c>
      <x:c r="J6" s="9" t="str">
        <x:v>输出 token 数</x:v>
      </x:c>
      <x:c r="K6" s="9" t="str">
        <x:v>重复次数</x:v>
      </x:c>
      <x:c r="L6" s="9" t="str">
        <x:v>端到端加速比</x:v>
      </x:c>
      <x:c r="M6" s="9" t="str">
        <x:v>状态</x:v>
      </x:c>
    </x:row>
    <x:row r="7" ht="24" customHeight="1">
      <x:c r="A7" s="2" t="str">
        <x:v>原模型</x:v>
      </x:c>
      <x:c r="B7" s="2" t="n">
        <x:v>576</x:v>
      </x:c>
      <x:c r="C7" s="2" t="n">
        <x:v>576</x:v>
      </x:c>
      <x:c r="D7" s="23"/>
      <x:c r="E7" s="23"/>
      <x:c r="F7" s="23"/>
      <x:c r="G7" s="23"/>
      <x:c r="H7" s="23"/>
      <x:c r="I7" s="23"/>
      <x:c r="J7" s="21"/>
      <x:c r="K7" s="21"/>
      <x:c r="L7" s="24" t="str">
        <x:f>IF(COUNT(G7,$G$7)&lt;2,"",IF(G7=0,"",$G$7/G7))</x:f>
      </x:c>
      <x:c r="M7" s="22" t="str">
        <x:v>待运行</x:v>
      </x:c>
    </x:row>
    <x:row r="8" ht="24" customHeight="1">
      <x:c r="A8" s="2" t="str">
        <x:v>TransPrune-High</x:v>
      </x:c>
      <x:c r="B8" s="2" t="n">
        <x:v>576</x:v>
      </x:c>
      <x:c r="C8" s="2" t="n">
        <x:v>72</x:v>
      </x:c>
      <x:c r="D8" s="23"/>
      <x:c r="E8" s="23"/>
      <x:c r="F8" s="23"/>
      <x:c r="G8" s="23"/>
      <x:c r="H8" s="23"/>
      <x:c r="I8" s="23"/>
      <x:c r="J8" s="21"/>
      <x:c r="K8" s="21"/>
      <x:c r="L8" s="24" t="str">
        <x:f>IF(COUNT(G8,$G$7)&lt;2,"",IF(G8=0,"",$G$7/G8))</x:f>
      </x:c>
      <x:c r="M8" s="22" t="str">
        <x:v>待运行</x:v>
      </x:c>
    </x:row>
    <x:row r="9" ht="24" customHeight="1">
      <x:c r="A9" s="2" t="str">
        <x:v>TransPrune-Low</x:v>
      </x:c>
      <x:c r="B9" s="2" t="n">
        <x:v>576</x:v>
      </x:c>
      <x:c r="C9" s="2" t="n">
        <x:v>36</x:v>
      </x:c>
      <x:c r="D9" s="23"/>
      <x:c r="E9" s="23"/>
      <x:c r="F9" s="23"/>
      <x:c r="G9" s="23"/>
      <x:c r="H9" s="23"/>
      <x:c r="I9" s="23"/>
      <x:c r="J9" s="21"/>
      <x:c r="K9" s="21"/>
      <x:c r="L9" s="24" t="str">
        <x:f>IF(COUNT(G9,$G$7)&lt;2,"",IF(G9=0,"",$G$7/G9))</x:f>
      </x:c>
      <x:c r="M9" s="22" t="str">
        <x:v>待运行</x:v>
      </x:c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4" customHeight="1">
      <x:c r="A12" s="16" t="str">
        <x:v>测量条件：先统一，再比较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34" customHeight="1">
      <x:c r="A14" s="25" t="str">
        <x:v>GPU</x:v>
      </x:c>
      <x:c r="B14" s="25" t="str">
        <x:v>RTX 4090 D 24GB</x:v>
      </x:c>
      <x:c r="C14" s="25"/>
      <x:c r="D14" s="25"/>
      <x:c r="E14" s="25" t="str">
        <x:v>精度</x:v>
      </x:c>
      <x:c r="F14" s="25" t="str">
        <x:v>FP16</x:v>
      </x:c>
      <x:c r="G14" s="25"/>
      <x:c r="H14" s="25"/>
      <x:c r="I14" s="25"/>
      <x:c r="J14" s="25"/>
      <x:c r="K14" s="25"/>
      <x:c r="L14" s="25"/>
      <x:c r="M14" s="25"/>
    </x:row>
    <x:row r="15" ht="34" customHeight="1">
      <x:c r="A15" s="25" t="str">
        <x:v>测量样本/子集</x:v>
      </x:c>
      <x:c r="B15" s="26"/>
      <x:c r="C15" s="26"/>
      <x:c r="D15" s="26"/>
      <x:c r="E15" s="25" t="str">
        <x:v>预热次数</x:v>
      </x:c>
      <x:c r="F15" s="26"/>
      <x:c r="G15" s="26"/>
      <x:c r="H15" s="26"/>
      <x:c r="I15" s="27" t="str">
        <x:v>注意力实现、样本、生成策略要一致；记录实际生成长度和重复次数。</x:v>
      </x:c>
      <x:c r="J15" s="25"/>
      <x:c r="K15" s="25"/>
      <x:c r="L15" s="25"/>
      <x:c r="M15" s="25"/>
    </x:row>
    <x:row r="16" ht="34" customHeight="1">
      <x:c r="A16" s="25" t="str">
        <x:v>注意力后端</x:v>
      </x:c>
      <x:c r="B16" s="26"/>
      <x:c r="C16" s="26"/>
      <x:c r="D16" s="26"/>
      <x:c r="E16" s="25" t="str">
        <x:v>生成长度策略</x:v>
      </x:c>
      <x:c r="F16" s="26"/>
      <x:c r="G16" s="26"/>
      <x:c r="H16" s="26"/>
      <x:c r="I16" s="27" t="str">
        <x:v>计时须预热、CUDA 同步；峰值显存需在相同边界重置并测量。</x:v>
      </x:c>
      <x:c r="J16" s="25"/>
      <x:c r="K16" s="25"/>
      <x:c r="L16" s="25"/>
      <x:c r="M16" s="25"/>
    </x:row>
    <x:row r="17" ht="34" customHeight="1">
      <x:c r="A17" s="25" t="str">
        <x:v>Prefill 计时边界</x:v>
      </x:c>
      <x:c r="B17" s="26"/>
      <x:c r="C17" s="26"/>
      <x:c r="D17" s="26"/>
      <x:c r="E17" s="25" t="str">
        <x:v>Decode 计时边界</x:v>
      </x:c>
      <x:c r="F17" s="26"/>
      <x:c r="G17" s="26"/>
      <x:c r="H17" s="26"/>
      <x:c r="I17" s="27" t="str">
        <x:v>TFLOPs 为运算量，不能从显存或耗时直接换算；不把论文值填进实测。</x:v>
      </x:c>
      <x:c r="J17" s="25"/>
      <x:c r="K17" s="25"/>
      <x:c r="L17" s="25"/>
      <x:c r="M17" s="25"/>
    </x:row>
    <x:row r="18" ht="34" customHeight="1">
      <x:c r="A18" s="25" t="str">
        <x:v>端到端计时边界</x:v>
      </x:c>
      <x:c r="B18" s="26"/>
      <x:c r="C18" s="26"/>
      <x:c r="D18" s="26"/>
      <x:c r="E18" s="25" t="str">
        <x:v>FLOPs 统计口径</x:v>
      </x:c>
      <x:c r="F18" s="26"/>
      <x:c r="G18" s="26"/>
      <x:c r="H18" s="26"/>
      <x:c r="I18" s="25"/>
      <x:c r="J18" s="25"/>
      <x:c r="K18" s="25"/>
      <x:c r="L18" s="25"/>
      <x:c r="M18" s="25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" customHeight="1">
      <x:c r="A22" s="16" t="str">
        <x:v>论文表 8 参考：A100 40GB，MME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5" t="str">
        <x:v>来源：论文表 8。https://openaccess.thecvf.com/content/CVPR2026/papers/Li_TransPrune_Token_Transition_Pruning_for_Efficient_Large_Vision-Language_Model_CVPR_2026_paper.pdf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42" customHeight="1">
      <x:c r="A25" s="9" t="str">
        <x:v>方法</x:v>
      </x:c>
      <x:c r="B25" s="9" t="str">
        <x:v>论文延迟 ms</x:v>
      </x:c>
      <x:c r="C25" s="9" t="str">
        <x:v>论文显存 GB</x:v>
      </x:c>
      <x:c r="D25" s="9" t="str">
        <x:v>论文 MME 感知分</x:v>
      </x:c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4" customHeight="1">
      <x:c r="A26" s="2" t="str">
        <x:v>FastV</x:v>
      </x:c>
      <x:c r="B26" s="19" t="n">
        <x:v>125.2</x:v>
      </x:c>
      <x:c r="C26" s="17" t="n">
        <x:v>14.99</x:v>
      </x:c>
      <x:c r="D26" s="2" t="n">
        <x:v>1474</x:v>
      </x:c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4" customHeight="1">
      <x:c r="A27" s="2" t="str">
        <x:v>PDrop</x:v>
      </x:c>
      <x:c r="B27" s="19" t="n">
        <x:v>115.2</x:v>
      </x:c>
      <x:c r="C27" s="17" t="n">
        <x:v>14.87</x:v>
      </x:c>
      <x:c r="D27" s="2" t="n">
        <x:v>1500</x:v>
      </x:c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4" customHeight="1">
      <x:c r="A28" s="2" t="str">
        <x:v>SparseVLM</x:v>
      </x:c>
      <x:c r="B28" s="19" t="n">
        <x:v>129.1</x:v>
      </x:c>
      <x:c r="C28" s="17" t="n">
        <x:v>19.05</x:v>
      </x:c>
      <x:c r="D28" s="2" t="n">
        <x:v>1484</x:v>
      </x:c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4" customHeight="1">
      <x:c r="A29" s="2" t="str">
        <x:v>TransPrune</x:v>
      </x:c>
      <x:c r="B29" s="19" t="n">
        <x:v>111.4</x:v>
      </x:c>
      <x:c r="C29" s="17" t="n">
        <x:v>14.82</x:v>
      </x:c>
      <x:c r="D29" s="2" t="n">
        <x:v>1540</x:v>
      </x:c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4" customHeight="1">
      <x:c r="A31" s="5" t="str">
        <x:v>论文未在表 8 列出原模型延迟；硬件、计时边界与显存口径需核对，不能将这些数直接当作 4090 D 目标值。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</x:sheetData>
  <x:mergeCells>
    <x:mergeCell ref="B14:D14"/>
    <x:mergeCell ref="F14:H14"/>
    <x:mergeCell ref="I14:M14"/>
    <x:mergeCell ref="B15:D15"/>
    <x:mergeCell ref="F15:H15"/>
    <x:mergeCell ref="I15:M15"/>
    <x:mergeCell ref="B16:D16"/>
    <x:mergeCell ref="F16:H16"/>
    <x:mergeCell ref="I16:M16"/>
    <x:mergeCell ref="B17:D17"/>
    <x:mergeCell ref="F17:H17"/>
    <x:mergeCell ref="I17:M17"/>
    <x:mergeCell ref="B18:D18"/>
    <x:mergeCell ref="F18:H18"/>
    <x:mergeCell ref="I18:M18"/>
  </x:mergeCells>
  <x:dataValidations count="1">
    <x:dataValidation type="list" sqref="M7:M9">
      <x:formula1>"待准备,待运行,运行中,待确认,已完成,待修复,暂不开展"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63C59"/>
  </x:sheetPr>
  <x:sheetViews>
    <x:sheetView showGridLines="0" workbookViewId="0"/>
  </x:sheetViews>
  <x:sheetFormatPr defaultRowHeight="15"/>
  <x:cols>
    <x:col min="1" max="1" width="26" hidden="0" customWidth="1"/>
    <x:col min="2" max="2" width="17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9" hidden="0" customWidth="1"/>
    <x:col min="10" max="10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消融实验记录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4" customHeight="1">
      <x:c r="A4" s="5" t="str">
        <x:v>后续实验，尚未执行。先完成 MME 和 TextVQA 主实验，再逐项修改方法；比较时固定剪枝预算及生成设置。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2" customHeight="1">
      <x:c r="A6" s="9" t="str">
        <x:v>配置</x:v>
      </x:c>
      <x:c r="B6" s="9" t="str">
        <x:v>建议预算</x:v>
      </x:c>
      <x:c r="C6" s="9" t="str">
        <x:v>数据来源</x:v>
      </x:c>
      <x:c r="D6" s="9" t="str">
        <x:v>MME 感知分</x:v>
      </x:c>
      <x:c r="E6" s="9" t="str">
        <x:v>SQA 图片</x:v>
      </x:c>
      <x:c r="F6" s="9" t="str">
        <x:v>GQA</x:v>
      </x:c>
      <x:c r="G6" s="9" t="str">
        <x:v>MMBench 英文</x:v>
      </x:c>
      <x:c r="H6" s="9" t="str">
        <x:v>TextVQA</x:v>
      </x:c>
      <x:c r="I6" s="9" t="str">
        <x:v>实现/运行状态</x:v>
      </x:c>
      <x:c r="J6" s="9" t="str">
        <x:v>论文定位</x:v>
      </x:c>
    </x:row>
    <x:row r="7" ht="24" customHeight="1">
      <x:c r="A7" s="2" t="str">
        <x:v>仅 IGA</x:v>
      </x:c>
      <x:c r="B7" s="2" t="str">
        <x:v>High</x:v>
      </x:c>
      <x:c r="C7" s="2" t="str">
        <x:v>本次实测</x:v>
      </x:c>
      <x:c r="D7" s="23"/>
      <x:c r="E7" s="11"/>
      <x:c r="F7" s="11"/>
      <x:c r="G7" s="11"/>
      <x:c r="H7" s="11"/>
      <x:c r="I7" s="2" t="str">
        <x:v>待实现</x:v>
      </x:c>
      <x:c r="J7" s="2" t="str">
        <x:v>表 12</x:v>
      </x:c>
    </x:row>
    <x:row r="8" ht="24" customHeight="1">
      <x:c r="A8" s="2" t="str">
        <x:v>IGA + 方向</x:v>
      </x:c>
      <x:c r="B8" s="2" t="str">
        <x:v>High</x:v>
      </x:c>
      <x:c r="C8" s="2" t="str">
        <x:v>本次实测</x:v>
      </x:c>
      <x:c r="D8" s="23"/>
      <x:c r="E8" s="11"/>
      <x:c r="F8" s="11"/>
      <x:c r="G8" s="11"/>
      <x:c r="H8" s="11"/>
      <x:c r="I8" s="2" t="str">
        <x:v>待实现</x:v>
      </x:c>
      <x:c r="J8" s="2" t="str">
        <x:v>表 12</x:v>
      </x:c>
    </x:row>
    <x:row r="9" ht="24" customHeight="1">
      <x:c r="A9" s="2" t="str">
        <x:v>IGA + 幅度</x:v>
      </x:c>
      <x:c r="B9" s="2" t="str">
        <x:v>High</x:v>
      </x:c>
      <x:c r="C9" s="2" t="str">
        <x:v>本次实测</x:v>
      </x:c>
      <x:c r="D9" s="23"/>
      <x:c r="E9" s="11"/>
      <x:c r="F9" s="11"/>
      <x:c r="G9" s="11"/>
      <x:c r="H9" s="11"/>
      <x:c r="I9" s="2" t="str">
        <x:v>待实现</x:v>
      </x:c>
      <x:c r="J9" s="2" t="str">
        <x:v>表 12</x:v>
      </x:c>
    </x:row>
    <x:row r="10" ht="24" customHeight="1">
      <x:c r="A10" s="2" t="str">
        <x:v>IGA + 完整 TTV</x:v>
      </x:c>
      <x:c r="B10" s="2" t="str">
        <x:v>High</x:v>
      </x:c>
      <x:c r="C10" s="2" t="str">
        <x:v>本次实测</x:v>
      </x:c>
      <x:c r="D10" s="13" t="str">
        <x:f>IF(ISNUMBER('主实验'!F8),'主实验'!F8,"")</x:f>
      </x:c>
      <x:c r="E10" s="13" t="str">
        <x:f>IF(ISNUMBER('主实验'!J8),'主实验'!J8,"")</x:f>
      </x:c>
      <x:c r="F10" s="13" t="str">
        <x:f>IF(ISNUMBER('主实验'!L8),'主实验'!L8,"")</x:f>
      </x:c>
      <x:c r="G10" s="13" t="str">
        <x:f>IF(ISNUMBER('主实验'!M8),'主实验'!M8,"")</x:f>
      </x:c>
      <x:c r="H10" s="13" t="str">
        <x:f>IF(ISNUMBER('主实验'!I8),'主实验'!I8,"")</x:f>
      </x:c>
      <x:c r="I10" s="2" t="str">
        <x:v>主实验复用</x:v>
      </x:c>
      <x:c r="J10" s="2" t="str">
        <x:v>表 12</x:v>
      </x:c>
    </x:row>
    <x:row r="11" ht="24" customHeight="1">
      <x:c r="A11" s="2" t="str">
        <x:v>不累计 TTV</x:v>
      </x:c>
      <x:c r="B11" s="2" t="str">
        <x:v>High</x:v>
      </x:c>
      <x:c r="C11" s="2" t="str">
        <x:v>本次实测</x:v>
      </x:c>
      <x:c r="D11" s="23"/>
      <x:c r="E11" s="11"/>
      <x:c r="F11" s="11"/>
      <x:c r="G11" s="11"/>
      <x:c r="H11" s="11"/>
      <x:c r="I11" s="2" t="str">
        <x:v>待实现</x:v>
      </x:c>
      <x:c r="J11" s="2" t="str">
        <x:v>表 11</x:v>
      </x:c>
    </x:row>
    <x:row r="12" ht="24" customHeight="1">
      <x:c r="A12" s="2" t="str">
        <x:v>仅 TTV</x:v>
      </x:c>
      <x:c r="B12" s="2" t="str">
        <x:v>需核对论文设置</x:v>
      </x:c>
      <x:c r="C12" s="2" t="str">
        <x:v>本次实测</x:v>
      </x:c>
      <x:c r="D12" s="23"/>
      <x:c r="E12" s="11"/>
      <x:c r="F12" s="11"/>
      <x:c r="G12" s="11"/>
      <x:c r="H12" s="11"/>
      <x:c r="I12" s="2" t="str">
        <x:v>待实现</x:v>
      </x:c>
      <x:c r="J12" s="2" t="str">
        <x:v>表 7</x:v>
      </x:c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4" customHeight="1">
      <x:c r="A15" s="16" t="str">
        <x:v>论文参考：表 7、11、12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5" t="str">
        <x:v>来源：本地论文对应表格；空白为该表未列。https://openaccess.thecvf.com/content/CVPR2026/papers/Li_TransPrune_Token_Transition_Pruning_for_Efficient_Large_Vision-Language_Model_CVPR_2026_paper.pdf</x:v>
      </x:c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42" customHeight="1">
      <x:c r="A18" s="9" t="str">
        <x:v>配置</x:v>
      </x:c>
      <x:c r="B18" s="9" t="str">
        <x:v>论文设置</x:v>
      </x:c>
      <x:c r="C18" s="9" t="str">
        <x:v>数据来源</x:v>
      </x:c>
      <x:c r="D18" s="9" t="str">
        <x:v>MME 感知分</x:v>
      </x:c>
      <x:c r="E18" s="9" t="str">
        <x:v>SQA 图片</x:v>
      </x:c>
      <x:c r="F18" s="9" t="str">
        <x:v>GQA</x:v>
      </x:c>
      <x:c r="G18" s="9" t="str">
        <x:v>MMBench 英文</x:v>
      </x:c>
      <x:c r="H18" s="9" t="str">
        <x:v>TextVQA</x:v>
      </x:c>
      <x:c r="I18" s="9" t="str">
        <x:v>说明</x:v>
      </x:c>
      <x:c r="J18" s="9" t="str">
        <x:v>论文定位</x:v>
      </x:c>
    </x:row>
    <x:row r="19" ht="24" customHeight="1">
      <x:c r="A19" s="2" t="str">
        <x:v>仅 IGA</x:v>
      </x:c>
      <x:c r="B19" s="2" t="str">
        <x:v>High 对照</x:v>
      </x:c>
      <x:c r="C19" s="2" t="str">
        <x:v>论文</x:v>
      </x:c>
      <x:c r="D19" s="2" t="n">
        <x:v>1514</x:v>
      </x:c>
      <x:c r="E19" s="19" t="n">
        <x:v>69</x:v>
      </x:c>
      <x:c r="F19" s="19" t="n">
        <x:v>61.1</x:v>
      </x:c>
      <x:c r="G19" s="19" t="n">
        <x:v>65.6</x:v>
      </x:c>
      <x:c r="H19" s="19"/>
      <x:c r="I19" s="2" t="str"/>
      <x:c r="J19" s="2" t="str">
        <x:v>表 12</x:v>
      </x:c>
    </x:row>
    <x:row r="20" ht="24" customHeight="1">
      <x:c r="A20" s="2" t="str">
        <x:v>IGA + 方向</x:v>
      </x:c>
      <x:c r="B20" s="2" t="str">
        <x:v>High 对照</x:v>
      </x:c>
      <x:c r="C20" s="2" t="str">
        <x:v>论文</x:v>
      </x:c>
      <x:c r="D20" s="2" t="n">
        <x:v>1521</x:v>
      </x:c>
      <x:c r="E20" s="19" t="n">
        <x:v>69.1</x:v>
      </x:c>
      <x:c r="F20" s="19" t="n">
        <x:v>61.2</x:v>
      </x:c>
      <x:c r="G20" s="19" t="n">
        <x:v>65.4</x:v>
      </x:c>
      <x:c r="H20" s="19"/>
      <x:c r="I20" s="2" t="str"/>
      <x:c r="J20" s="2" t="str">
        <x:v>表 12</x:v>
      </x:c>
    </x:row>
    <x:row r="21" ht="24" customHeight="1">
      <x:c r="A21" s="2" t="str">
        <x:v>IGA + 幅度</x:v>
      </x:c>
      <x:c r="B21" s="2" t="str">
        <x:v>High 对照</x:v>
      </x:c>
      <x:c r="C21" s="2" t="str">
        <x:v>论文</x:v>
      </x:c>
      <x:c r="D21" s="2" t="n">
        <x:v>1532</x:v>
      </x:c>
      <x:c r="E21" s="19" t="n">
        <x:v>69.4</x:v>
      </x:c>
      <x:c r="F21" s="19" t="n">
        <x:v>61.4</x:v>
      </x:c>
      <x:c r="G21" s="19" t="n">
        <x:v>65.7</x:v>
      </x:c>
      <x:c r="H21" s="19"/>
      <x:c r="I21" s="2" t="str"/>
      <x:c r="J21" s="2" t="str">
        <x:v>表 12</x:v>
      </x:c>
    </x:row>
    <x:row r="22" ht="24" customHeight="1">
      <x:c r="A22" s="2" t="str">
        <x:v>IGA + 完整 TTV</x:v>
      </x:c>
      <x:c r="B22" s="2" t="str">
        <x:v>High 对照</x:v>
      </x:c>
      <x:c r="C22" s="2" t="str">
        <x:v>论文</x:v>
      </x:c>
      <x:c r="D22" s="2" t="n">
        <x:v>1540</x:v>
      </x:c>
      <x:c r="E22" s="19" t="n">
        <x:v>69.5</x:v>
      </x:c>
      <x:c r="F22" s="19" t="n">
        <x:v>61.4</x:v>
      </x:c>
      <x:c r="G22" s="19" t="n">
        <x:v>66</x:v>
      </x:c>
      <x:c r="H22" s="19"/>
      <x:c r="I22" s="2" t="str"/>
      <x:c r="J22" s="2" t="str">
        <x:v>表 12</x:v>
      </x:c>
    </x:row>
    <x:row r="23" ht="24" customHeight="1">
      <x:c r="A23" s="2" t="str">
        <x:v>不累计 TTV</x:v>
      </x:c>
      <x:c r="B23" s="2" t="str">
        <x:v>累积对照</x:v>
      </x:c>
      <x:c r="C23" s="2" t="str">
        <x:v>论文</x:v>
      </x:c>
      <x:c r="D23" s="2" t="n">
        <x:v>1530</x:v>
      </x:c>
      <x:c r="E23" s="19"/>
      <x:c r="F23" s="19" t="n">
        <x:v>61.4</x:v>
      </x:c>
      <x:c r="G23" s="19" t="n">
        <x:v>65.7</x:v>
      </x:c>
      <x:c r="H23" s="19"/>
      <x:c r="I23" s="2" t="str">
        <x:v>仅录已核对指标</x:v>
      </x:c>
      <x:c r="J23" s="2" t="str">
        <x:v>表 11</x:v>
      </x:c>
    </x:row>
    <x:row r="24" ht="24" customHeight="1">
      <x:c r="A24" s="2" t="str">
        <x:v>仅 TTV</x:v>
      </x:c>
      <x:c r="B24" s="2" t="str">
        <x:v>TTV-only</x:v>
      </x:c>
      <x:c r="C24" s="2" t="str">
        <x:v>论文</x:v>
      </x:c>
      <x:c r="D24" s="2"/>
      <x:c r="E24" s="19" t="n">
        <x:v>68.9</x:v>
      </x:c>
      <x:c r="F24" s="19" t="n">
        <x:v>58.4</x:v>
      </x:c>
      <x:c r="G24" s="19" t="n">
        <x:v>64.9</x:v>
      </x:c>
      <x:c r="H24" s="19" t="n">
        <x:v>50.9</x:v>
      </x:c>
      <x:c r="I24" s="2" t="str">
        <x:v>POPE 为 82.1</x:v>
      </x:c>
      <x:c r="J24" s="2" t="str">
        <x:v>表 7</x:v>
      </x:c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5" t="str">
        <x:v>每次只改变待验证的组成部分；不累计时使用当前层分数，不等同于在每次剪枝后清零。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5" t="str">
        <x:v>当前仓库方向项使用 1-cos，论文公式使用 1-|cos|；分别记录实现，不静默把二者视为同一版本。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5" t="str">
        <x:v>本表是待执行的实验安排；未填实测分数不表示实验失败或得分为 0。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63C5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9" hidden="0" customWidth="1"/>
    <x:col min="4" max="4" width="21" hidden="0" customWidth="1"/>
    <x:col min="5" max="5" width="37" hidden="0" customWidth="1"/>
    <x:col min="6" max="6" width="22" hidden="0" customWidth="1"/>
    <x:col min="7" max="7" width="28" hidden="0" customWidth="1"/>
    <x:col min="8" max="8" width="6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实验安排与运行记录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24" customHeight="1">
      <x:c r="A4" s="5" t="str">
        <x:v>每跑完一次实验，填写状态、运行日期和日志位置；评分输入填写在对应指标表。Excel 不替代原始 JSONL 和日志。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42" customHeight="1">
      <x:c r="A6" s="9" t="str">
        <x:v>实验编号</x:v>
      </x:c>
      <x:c r="B6" s="9" t="str">
        <x:v>实验</x:v>
      </x:c>
      <x:c r="C6" s="9" t="str">
        <x:v>目的/完成条件</x:v>
      </x:c>
      <x:c r="D6" s="9" t="str">
        <x:v>当前状态</x:v>
      </x:c>
      <x:c r="E6" s="9" t="str">
        <x:v>关键设置</x:v>
      </x:c>
      <x:c r="F6" s="9" t="str">
        <x:v>运行日期</x:v>
      </x:c>
      <x:c r="G6" s="9" t="str">
        <x:v>日志或结果路径</x:v>
      </x:c>
      <x:c r="H6" s="9" t="str">
        <x:v>备注</x:v>
      </x:c>
    </x:row>
    <x:row r="7" ht="52" customHeight="1">
      <x:c r="A7" s="25" t="str">
        <x:v>S00</x:v>
      </x:c>
      <x:c r="B7" s="25" t="str">
        <x:v>单图与 token 数验证</x:v>
      </x:c>
      <x:c r="C7" s="25" t="str">
        <x:v>原模型/High/Low 均能问答；剪枝数量正确</x:v>
      </x:c>
      <x:c r="D7" s="26" t="str">
        <x:v>已完成</x:v>
      </x:c>
      <x:c r="E7" s="25" t="str">
        <x:v>576→504→360→72；576→360→108→36</x:v>
      </x:c>
      <x:c r="F7" s="26"/>
      <x:c r="G7" s="26" t="str">
        <x:v>test/</x:v>
      </x:c>
      <x:c r="H7" s="25" t="str">
        <x:v>状态依据本次对话</x:v>
      </x:c>
    </x:row>
    <x:row r="8" ht="52" customHeight="1">
      <x:c r="A8" s="25" t="str">
        <x:v>M01</x:v>
      </x:c>
      <x:c r="B8" s="25" t="str">
        <x:v>MME 原模型</x:v>
      </x:c>
      <x:c r="C8" s="25" t="str">
        <x:v>2374 条预测；生成感知与认知评分</x:v>
      </x:c>
      <x:c r="D8" s="26" t="str">
        <x:v>待确认</x:v>
      </x:c>
      <x:c r="E8" s="25" t="str">
        <x:v>无剪枝；vicuna_v1；temperature=0</x:v>
      </x:c>
      <x:c r="F8" s="26"/>
      <x:c r="G8" s="26" t="str">
        <x:v>data/MME/answers/baseline.jsonl</x:v>
      </x:c>
      <x:c r="H8" s="25" t="str">
        <x:v>已给出运行命令，尚未收到完成行数和评分</x:v>
      </x:c>
    </x:row>
    <x:row r="9" ht="52" customHeight="1">
      <x:c r="A9" s="25" t="str">
        <x:v>M02</x:v>
      </x:c>
      <x:c r="B9" s="25" t="str">
        <x:v>MME High</x:v>
      </x:c>
      <x:c r="C9" s="25" t="str">
        <x:v>与原模型使用相同题目、评分器</x:v>
      </x:c>
      <x:c r="D9" s="26" t="str">
        <x:v>待运行</x:v>
      </x:c>
      <x:c r="E9" s="25" t="str">
        <x:v>比例 0.875 / 0.625 / 0.125</x:v>
      </x:c>
      <x:c r="F9" s="26"/>
      <x:c r="G9" s="26" t="str">
        <x:v>data/MME/answers/transprune_high.jsonl</x:v>
      </x:c>
      <x:c r="H9" s="25" t="str">
        <x:v>需同时保存评分日志</x:v>
      </x:c>
    </x:row>
    <x:row r="10" ht="52" customHeight="1">
      <x:c r="A10" s="25" t="str">
        <x:v>M03</x:v>
      </x:c>
      <x:c r="B10" s="25" t="str">
        <x:v>MME Low</x:v>
      </x:c>
      <x:c r="C10" s="25" t="str">
        <x:v>验证更低预算下的性能</x:v>
      </x:c>
      <x:c r="D10" s="26" t="str">
        <x:v>待运行</x:v>
      </x:c>
      <x:c r="E10" s="25" t="str">
        <x:v>比例 0.625 / 0.1875 / 0.0625</x:v>
      </x:c>
      <x:c r="F10" s="26"/>
      <x:c r="G10" s="26" t="str">
        <x:v>data/MME/answers/transprune_low.jsonl</x:v>
      </x:c>
      <x:c r="H10" s="25" t="str">
        <x:v>需同时保存评分日志</x:v>
      </x:c>
    </x:row>
    <x:row r="11" ht="52" customHeight="1">
      <x:c r="A11" s="25" t="str">
        <x:v>T01</x:v>
      </x:c>
      <x:c r="B11" s="25" t="str">
        <x:v>TextVQA 三组</x:v>
      </x:c>
      <x:c r="C11" s="25" t="str">
        <x:v>比较图片中文字理解能力</x:v>
      </x:c>
      <x:c r="D11" s="26" t="str">
        <x:v>待准备</x:v>
      </x:c>
      <x:c r="E11" s="25" t="str">
        <x:v>沿用官方含 OCR 的问题格式</x:v>
      </x:c>
      <x:c r="F11" s="26"/>
      <x:c r="G11" s="26"/>
      <x:c r="H11" s="25" t="str">
        <x:v>与 MME 完成后开展</x:v>
      </x:c>
    </x:row>
    <x:row r="12" ht="52" customHeight="1">
      <x:c r="A12" s="25" t="str">
        <x:v>E01</x:v>
      </x:c>
      <x:c r="B12" s="25" t="str">
        <x:v>效率三组</x:v>
      </x:c>
      <x:c r="C12" s="25" t="str">
        <x:v>同一 GPU 下比较时间、显存、FLOPs</x:v>
      </x:c>
      <x:c r="D12" s="26" t="str">
        <x:v>待准备</x:v>
      </x:c>
      <x:c r="E12" s="25" t="str">
        <x:v>固定输入、生成条件与注意力实现</x:v>
      </x:c>
      <x:c r="F12" s="26"/>
      <x:c r="G12" s="26"/>
      <x:c r="H12" s="25" t="str">
        <x:v>先填写“效率”页测量条件</x:v>
      </x:c>
    </x:row>
    <x:row r="13" ht="52" customHeight="1">
      <x:c r="A13" s="25" t="str">
        <x:v>A01</x:v>
      </x:c>
      <x:c r="B13" s="25" t="str">
        <x:v>组成与累积消融</x:v>
      </x:c>
      <x:c r="C13" s="25" t="str">
        <x:v>判断各组成部分是否有贡献</x:v>
      </x:c>
      <x:c r="D13" s="26" t="str">
        <x:v>待准备</x:v>
      </x:c>
      <x:c r="E13" s="25" t="str">
        <x:v>使用“消融”页逐项配置</x:v>
      </x:c>
      <x:c r="F13" s="26"/>
      <x:c r="G13" s="26"/>
      <x:c r="H13" s="25" t="str">
        <x:v>先核对代码与论文公式差异</x:v>
      </x:c>
    </x:row>
    <x:row r="14" ht="52" customHeight="1">
      <x:c r="A14" s="25" t="str">
        <x:v>B01</x:v>
      </x:c>
      <x:c r="B14" s="25" t="str">
        <x:v>补齐表 1 其余六项</x:v>
      </x:c>
      <x:c r="C14" s="25" t="str">
        <x:v>获得八项完整汇总相对性能</x:v>
      </x:c>
      <x:c r="D14" s="26" t="str">
        <x:v>待准备</x:v>
      </x:c>
      <x:c r="E14" s="25" t="str">
        <x:v>VQAv2、SEED、SQA、POPE、GQA、MMBench</x:v>
      </x:c>
      <x:c r="F14" s="26"/>
      <x:c r="G14" s="26"/>
      <x:c r="H14" s="25" t="str">
        <x:v>需要分别准备数据和官方评分流程</x:v>
      </x:c>
    </x:row>
    <x:row r="15" ht="52" customHeight="1">
      <x:c r="A15" s="25" t="str">
        <x:v>X01</x:v>
      </x:c>
      <x:c r="B15" s="25" t="str">
        <x:v>跨模型/视频/组合压缩</x:v>
      </x:c>
      <x:c r="C15" s="25" t="str">
        <x:v>扩展论文表 2–6 的实验范围</x:v>
      </x:c>
      <x:c r="D15" s="26" t="str">
        <x:v>暂不开展</x:v>
      </x:c>
      <x:c r="E15" s="25" t="str">
        <x:v>LLaVA-NeXT、Qwen、Video-LLaVA 等</x:v>
      </x:c>
      <x:c r="F15" s="26"/>
      <x:c r="G15" s="26"/>
      <x:c r="H15" s="25" t="str">
        <x:v>当前模板重点是 LLaVA-v1.5-7B；公开仓库覆盖不完整</x:v>
      </x:c>
    </x:row>
    <x:row r="16" ht="24" customHeight="1">
      <x:c r="A16" s="2"/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16" t="str">
        <x:v>固定环境与实验口径</x:v>
      </x:c>
      <x:c r="B18" s="2"/>
      <x:c r="C18" s="2"/>
      <x:c r="D18" s="2"/>
      <x:c r="E18" s="2"/>
      <x:c r="F18" s="2"/>
      <x:c r="G18" s="2"/>
      <x:c r="H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24" customHeight="1">
      <x:c r="A20" s="29" t="str">
        <x:v>GPU</x:v>
      </x:c>
      <x:c r="B20" s="2"/>
      <x:c r="C20" s="30" t="str">
        <x:v>RTX 4090 D，24564 MiB 显存</x:v>
      </x:c>
      <x:c r="D20" s="2"/>
      <x:c r="E20" s="2"/>
      <x:c r="F20" s="2"/>
      <x:c r="G20" s="2"/>
      <x:c r="H20" s="2"/>
    </x:row>
    <x:row r="21" ht="24" customHeight="1">
      <x:c r="A21" s="29" t="str">
        <x:v>模型精度</x:v>
      </x:c>
      <x:c r="B21" s="2"/>
      <x:c r="C21" s="30" t="str">
        <x:v>FP16，未启用 4bit / 8bit 量化</x:v>
      </x:c>
      <x:c r="D21" s="2"/>
      <x:c r="E21" s="2"/>
      <x:c r="F21" s="2"/>
      <x:c r="G21" s="2"/>
      <x:c r="H21" s="2"/>
    </x:row>
    <x:row r="22" ht="24" customHeight="1">
      <x:c r="A22" s="29" t="str">
        <x:v>代码提交</x:v>
      </x:c>
      <x:c r="B22" s="2"/>
      <x:c r="C22" s="30" t="str">
        <x:v>c9e8284f5808f7692c40590ffc99537e9220a01d</x:v>
      </x:c>
      <x:c r="D22" s="2"/>
      <x:c r="E22" s="2"/>
      <x:c r="F22" s="2"/>
      <x:c r="G22" s="2"/>
      <x:c r="H22" s="2"/>
    </x:row>
    <x:row r="23" ht="24" customHeight="1">
      <x:c r="A23" s="29" t="str">
        <x:v>模型提交</x:v>
      </x:c>
      <x:c r="B23" s="2"/>
      <x:c r="C23" s="30" t="str">
        <x:v>4481d270cc22fd5c4d1bb5df129622006ccd9234</x:v>
      </x:c>
      <x:c r="D23" s="2"/>
      <x:c r="E23" s="2"/>
      <x:c r="F23" s="2"/>
      <x:c r="G23" s="2"/>
      <x:c r="H23" s="2"/>
    </x:row>
    <x:row r="24" ht="24" customHeight="1">
      <x:c r="A24" s="29" t="str">
        <x:v>视觉编码器提交</x:v>
      </x:c>
      <x:c r="B24" s="2"/>
      <x:c r="C24" s="30" t="str">
        <x:v>ce19dc912ca5cd21c8a653c79e251e808ccabcd1</x:v>
      </x:c>
      <x:c r="D24" s="2"/>
      <x:c r="E24" s="2"/>
      <x:c r="F24" s="2"/>
      <x:c r="G24" s="2"/>
      <x:c r="H24" s="2"/>
    </x:row>
    <x:row r="25" ht="24" customHeight="1">
      <x:c r="A25" s="29" t="str">
        <x:v>Python / PyTorch</x:v>
      </x:c>
      <x:c r="B25" s="2"/>
      <x:c r="C25" s="30" t="str">
        <x:v>3.10.8 / 2.1.2+cu121</x:v>
      </x:c>
      <x:c r="D25" s="2"/>
      <x:c r="E25" s="2"/>
      <x:c r="F25" s="2"/>
      <x:c r="G25" s="2"/>
      <x:c r="H25" s="2"/>
    </x:row>
    <x:row r="26" ht="24" customHeight="1">
      <x:c r="A26" s="29" t="str">
        <x:v>Transformers / PEFT</x:v>
      </x:c>
      <x:c r="B26" s="2"/>
      <x:c r="C26" s="30" t="str">
        <x:v>4.37.2 / 0.7.1</x:v>
      </x:c>
      <x:c r="D26" s="2"/>
      <x:c r="E26" s="2"/>
      <x:c r="F26" s="2"/>
      <x:c r="G26" s="2"/>
      <x:c r="H26" s="2"/>
    </x:row>
    <x:row r="27" ht="24" customHeight="1">
      <x:c r="A27" s="29" t="str">
        <x:v>bitsandbytes</x:v>
      </x:c>
      <x:c r="B27" s="2"/>
      <x:c r="C27" s="30" t="str">
        <x:v>0.43.1；BNB_CUDA_VERSION=118</x:v>
      </x:c>
      <x:c r="D27" s="2"/>
      <x:c r="E27" s="2"/>
      <x:c r="F27" s="2"/>
      <x:c r="G27" s="2"/>
      <x:c r="H27" s="2"/>
    </x:row>
    <x:row r="28" ht="24" customHeight="1">
      <x:c r="A28" s="29" t="str">
        <x:v>MME 输入</x:v>
      </x:c>
      <x:c r="B28" s="2"/>
      <x:c r="C28" s="30" t="str">
        <x:v>2374 问题；1187 图片；14 类；图片和标准答案匹配通过</x:v>
      </x:c>
      <x:c r="D28" s="2"/>
      <x:c r="E28" s="2"/>
      <x:c r="F28" s="2"/>
      <x:c r="G28" s="2"/>
      <x:c r="H28" s="2"/>
    </x:row>
    <x:row r="29" ht="24" customHeight="1">
      <x:c r="A29" s="29" t="str">
        <x:v>MME 生成设置</x:v>
      </x:c>
      <x:c r="B29" s="2"/>
      <x:c r="C29" s="30" t="str">
        <x:v>vicuna_v1；temperature=0；max_new_tokens=128；batch size=1</x:v>
      </x:c>
      <x:c r="D29" s="2"/>
      <x:c r="E29" s="2"/>
      <x:c r="F29" s="2"/>
      <x:c r="G29" s="2"/>
      <x:c r="H29" s="2"/>
    </x:row>
    <x:row r="30" ht="24" customHeight="1">
      <x:c r="A30" s="29" t="str">
        <x:v>High / Low 累积分数层</x:v>
      </x:c>
      <x:c r="B30" s="2"/>
      <x:c r="C30" s="30" t="str">
        <x:v>[7,8,9,10,11,12]；剪枝参数 [7,9,12]</x:v>
      </x:c>
      <x:c r="D30" s="2"/>
      <x:c r="E30" s="2"/>
      <x:c r="F30" s="2"/>
      <x:c r="G30" s="2"/>
      <x:c r="H30" s="2"/>
    </x:row>
    <x:row r="31" ht="24" customHeight="1">
      <x:c r="A31" s="29" t="str">
        <x:v>注意力实现</x:v>
      </x:c>
      <x:c r="B31" s="2"/>
      <x:c r="C31" s="30" t="str">
        <x:v>当前加载未启用 FlashAttention 2；性能对比前记录实际后端</x:v>
      </x:c>
      <x:c r="D31" s="2"/>
      <x:c r="E31" s="2"/>
      <x:c r="F31" s="2"/>
      <x:c r="G31" s="2"/>
      <x:c r="H31" s="2"/>
    </x:row>
    <x:row r="32" ht="24" customHeight="1">
      <x:c r="A32" s="29" t="str">
        <x:v>已完成验证</x:v>
      </x:c>
      <x:c r="B32" s="2"/>
      <x:c r="C32" s="30" t="str">
        <x:v>单图 baseline / High / Low，token 数量；尚无正式 benchmark 分数</x:v>
      </x:c>
      <x:c r="D32" s="2"/>
      <x:c r="E32" s="2"/>
      <x:c r="F32" s="2"/>
      <x:c r="G32" s="2"/>
      <x:c r="H32" s="2"/>
    </x:row>
    <x:row r="33" ht="24" customHeight="1">
      <x:c r="A33" s="29" t="str">
        <x:v>服务器工作目录</x:v>
      </x:c>
      <x:c r="B33" s="2"/>
      <x:c r="C33" s="30" t="str">
        <x:v>/root/autodl-tmp/transprune-work</x:v>
      </x:c>
      <x:c r="D33" s="2"/>
      <x:c r="E33" s="2"/>
      <x:c r="F33" s="2"/>
      <x:c r="G33" s="2"/>
      <x:c r="H33" s="2"/>
    </x:row>
    <x:row r="34" ht="24" customHeight="1">
      <x:c r="A34" s="29" t="str">
        <x:v>环境文件</x:v>
      </x:c>
      <x:c r="B34" s="2"/>
      <x:c r="C34" s="30" t="str">
        <x:v>env.sh；environment-freeze.txt；constraints-transprune.txt</x:v>
      </x:c>
      <x:c r="D34" s="2"/>
      <x:c r="E34" s="2"/>
      <x:c r="F34" s="2"/>
      <x:c r="G34" s="2"/>
      <x:c r="H34" s="2"/>
    </x:row>
    <x:row r="35" ht="24" customHeight="1">
      <x:c r="A35" s="29" t="str">
        <x:v>转换脚本修改</x:v>
      </x:c>
      <x:c r="B35" s="2"/>
      <x:c r="C35" s="30" t="str">
        <x:v>data_path 改为 MME_Benchmark_release_version/MME_Benchmark</x:v>
      </x:c>
      <x:c r="D35" s="2"/>
      <x:c r="E35" s="2"/>
      <x:c r="F35" s="2"/>
      <x:c r="G35" s="2"/>
      <x:c r="H35" s="2"/>
    </x:row>
    <x:row r="36" ht="24" customHeight="1">
      <x:c r="A36" s="29" t="str">
        <x:v>记录来源</x:v>
      </x:c>
      <x:c r="B36" s="2"/>
      <x:c r="C36" s="30" t="str">
        <x:v>本次对话中的命令、环境输出与人工确认，截至 2026-09-30</x:v>
      </x:c>
      <x:c r="D36" s="2"/>
      <x:c r="E36" s="2"/>
      <x:c r="F36" s="2"/>
      <x:c r="G36" s="2"/>
      <x:c r="H36" s="2"/>
    </x:row>
    <x:row r="37" ht="24" customHeight="1">
      <x:c r="A37" s="29" t="str">
        <x:v>代码来源</x:v>
      </x:c>
      <x:c r="B37" s="2"/>
      <x:c r="C37" s="30" t="str">
        <x:v>https://github.com/liaolea/TransPrune</x:v>
      </x:c>
      <x:c r="D37" s="2"/>
      <x:c r="E37" s="2"/>
      <x:c r="F37" s="2"/>
      <x:c r="G37" s="2"/>
      <x:c r="H37" s="2"/>
    </x:row>
    <x:row r="38" ht="24" customHeight="1">
      <x:c r="A38" s="29" t="str">
        <x:v>MME 工具来源</x:v>
      </x:c>
      <x:c r="B38" s="2"/>
      <x:c r="C38" s="30" t="str">
        <x:v>https://github.com/BradyFU/Awesome-Multimodal-Large-Language-Models/tree/Evaluation</x:v>
      </x:c>
      <x:c r="D38" s="2"/>
      <x:c r="E38" s="2"/>
      <x:c r="F38" s="2"/>
      <x:c r="G38" s="2"/>
      <x:c r="H38" s="2"/>
    </x:row>
    <x:row r="39" ht="24" customHeight="1">
      <x:c r="A39" s="29" t="str">
        <x:v>评测格式来源</x:v>
      </x:c>
      <x:c r="B39" s="2"/>
      <x:c r="C39" s="30" t="str">
        <x:v>https://github.com/haotian-liu/LLaVA/blob/main/docs/Evaluation.md</x:v>
      </x:c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</x:sheetData>
  <x:mergeCells>
    <x:mergeCell ref="A20:B20"/>
    <x:mergeCell ref="C20:H20"/>
    <x:mergeCell ref="A21:B21"/>
    <x:mergeCell ref="C21:H21"/>
    <x:mergeCell ref="A22:B22"/>
    <x:mergeCell ref="C22:H22"/>
    <x:mergeCell ref="A23:B23"/>
    <x:mergeCell ref="C23:H23"/>
    <x:mergeCell ref="A24:B24"/>
    <x:mergeCell ref="C24:H24"/>
    <x:mergeCell ref="A25:B25"/>
    <x:mergeCell ref="C25:H25"/>
    <x:mergeCell ref="A26:B26"/>
    <x:mergeCell ref="C26:H26"/>
    <x:mergeCell ref="A27:B27"/>
    <x:mergeCell ref="C27:H27"/>
    <x:mergeCell ref="A28:B28"/>
    <x:mergeCell ref="C28:H28"/>
    <x:mergeCell ref="A29:B29"/>
    <x:mergeCell ref="C29:H29"/>
    <x:mergeCell ref="A30:B30"/>
    <x:mergeCell ref="C30:H30"/>
    <x:mergeCell ref="A31:B31"/>
    <x:mergeCell ref="C31:H31"/>
    <x:mergeCell ref="A32:B32"/>
    <x:mergeCell ref="C32:H32"/>
    <x:mergeCell ref="A33:B33"/>
    <x:mergeCell ref="C33:H33"/>
    <x:mergeCell ref="A34:B34"/>
    <x:mergeCell ref="C34:H34"/>
    <x:mergeCell ref="A35:B35"/>
    <x:mergeCell ref="C35:H35"/>
    <x:mergeCell ref="A36:B36"/>
    <x:mergeCell ref="C36:H36"/>
    <x:mergeCell ref="A37:B37"/>
    <x:mergeCell ref="C37:H37"/>
    <x:mergeCell ref="A38:B38"/>
    <x:mergeCell ref="C38:H38"/>
    <x:mergeCell ref="A39:B39"/>
    <x:mergeCell ref="C39:H39"/>
  </x:mergeCells>
  <x:dataValidations count="1">
    <x:dataValidation type="list" sqref="D7:D15">
      <x:formula1>"待准备,待运行,运行中,待确认,已完成,待修复,暂不开展"</x:formula1>
    </x:dataValidation>
  </x:dataValidations>
  <x:pageMargins left="0.7" right="0.7" top="0.75" bottom="0.75" header="0.3" footer="0.3"/>
</x:worksheet>
</file>