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7210160ac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实验" sheetId="1" r:id="Re06f62723fcf4a74"/>
    <x:sheet xmlns:r="http://schemas.openxmlformats.org/officeDocument/2006/relationships" name="效率" sheetId="3" r:id="R82d6e0e478cc470f"/>
    <x:sheet xmlns:r="http://schemas.openxmlformats.org/officeDocument/2006/relationships" name="消融" sheetId="4" r:id="R2fcac4221a674dcc"/>
  </x:sheets>
</x:workbook>
</file>

<file path=xl/comments1.xml><?xml version="1.0" encoding="utf-8"?>
<x:comments xmlns:x="http://schemas.openxmlformats.org/spreadsheetml/2006/main">
  <x:authors>
    <x:author/>
  </x:authors>
  <x:commentList>
    <x:comment ref="F7" authorId="0">
      <x:text>
        <x:r>
          <x:t>来源：/root/autodl-tmp/transprune-work/results/table1_baseline/logs/mme.score.log</x:t>
        </x:r>
      </x:text>
    </x:comment>
    <x:comment ref="H7" authorId="0">
      <x:text>
        <x:r>
          <x:t>来源：/root/autodl-tmp/transprune-work/results/table1_baseline/logs/seed.score.log</x:t>
        </x:r>
      </x:text>
    </x:comment>
    <x:comment ref="I7" authorId="0">
      <x:text>
        <x:r>
          <x:t>来源：/root/autodl-tmp/transprune-work/results/table1_baseline/logs/textvqa.score.log</x:t>
        </x:r>
      </x:text>
    </x:comment>
    <x:comment ref="J7" authorId="0">
      <x:text>
        <x:r>
          <x:t>来源：/root/autodl-tmp/transprune-work/results/table1_baseline/logs/scienceqa.score.log</x:t>
        </x:r>
      </x:text>
    </x:comment>
    <x:comment ref="K7" authorId="0">
      <x:text>
        <x:r>
          <x:t>来源：/root/autodl-tmp/transprune-work/results/table1_baseline/logs/pope.score.log</x:t>
        </x:r>
      </x:text>
    </x:comment>
    <x:comment ref="M7" authorId="0">
      <x:text>
        <x:r>
          <x:t>来源：/root/autodl-tmp/transprune-work/results/table1_baseline/logs/mmbench.score.log</x:t>
        </x:r>
      </x:text>
    </x:comment>
    <x:comment ref="F8" authorId="0">
      <x:text>
        <x:r>
          <x:t>来源：/root/autodl-tmp/transprune-work/results/table1_high/logs/mme.score.log</x:t>
        </x:r>
      </x:text>
    </x:comment>
    <x:comment ref="H8" authorId="0">
      <x:text>
        <x:r>
          <x:t>来源：/root/autodl-tmp/transprune-work/results/table1_high/logs/seed.score.log</x:t>
        </x:r>
      </x:text>
    </x:comment>
    <x:comment ref="I8" authorId="0">
      <x:text>
        <x:r>
          <x:t>来源：/root/autodl-tmp/transprune-work/results/table1_high/logs/textvqa.score.log</x:t>
        </x:r>
      </x:text>
    </x:comment>
    <x:comment ref="J8" authorId="0">
      <x:text>
        <x:r>
          <x:t>来源：/root/autodl-tmp/transprune-work/results/table1_high/logs/scienceqa.score.log</x:t>
        </x:r>
      </x:text>
    </x:comment>
    <x:comment ref="K8" authorId="0">
      <x:text>
        <x:r>
          <x:t>来源：/root/autodl-tmp/transprune-work/results/table1_high/logs/pope.score.log</x:t>
        </x:r>
      </x:text>
    </x:comment>
    <x:comment ref="L8" authorId="0">
      <x:text>
        <x:r>
          <x:t>来源：/root/autodl-tmp/transprune-work/results/table1_high/logs/gqa.score.log</x:t>
        </x:r>
      </x:text>
    </x:comment>
    <x:comment ref="M8" authorId="0">
      <x:text>
        <x:r>
          <x:t>来源：/root/autodl-tmp/transprune-work/results/table1_high/logs/mmbench.score.log</x:t>
        </x:r>
      </x:text>
    </x:comment>
    <x:comment ref="F9" authorId="0">
      <x:text>
        <x:r>
          <x:t>来源：/root/autodl-tmp/transprune-work/results/table1_low/logs/mme.score.log</x:t>
        </x:r>
      </x:text>
    </x:comment>
    <x:comment ref="H9" authorId="0">
      <x:text>
        <x:r>
          <x:t>来源：/root/autodl-tmp/transprune-work/results/table1_low/logs/seed.score.log</x:t>
        </x:r>
      </x:text>
    </x:comment>
    <x:comment ref="I9" authorId="0">
      <x:text>
        <x:r>
          <x:t>来源：/root/autodl-tmp/transprune-work/results/table1_low/logs/textvqa.score.log</x:t>
        </x:r>
      </x:text>
    </x:comment>
    <x:comment ref="J9" authorId="0">
      <x:text>
        <x:r>
          <x:t>来源：/root/autodl-tmp/transprune-work/results/table1_low/logs/scienceqa.score.log</x:t>
        </x:r>
      </x:text>
    </x:comment>
    <x:comment ref="K9" authorId="0">
      <x:text>
        <x:r>
          <x:t>来源：/root/autodl-tmp/transprune-work/results/table1_low/logs/pope.score.log</x:t>
        </x:r>
      </x:text>
    </x:comment>
    <x:comment ref="L9" authorId="0">
      <x:text>
        <x:r>
          <x:t>来源：/root/autodl-tmp/transprune-work/results/table1_low/logs/gqa.score.log</x:t>
        </x:r>
      </x:text>
    </x:comment>
    <x:comment ref="M9" authorId="0">
      <x:text>
        <x:r>
          <x:t>来源：/root/autodl-tmp/transprune-work/results/table1_low/logs/mmbench.score.log</x:t>
        </x:r>
      </x:text>
    </x:comment>
    <x:comment ref="G7" authorId="0">
      <x:text>
        <x:r>
          <x:t>来源：用户提供的EvalAI Test-Dev Result file；baseline overall=78.52</x:t>
        </x:r>
      </x:text>
    </x:comment>
    <x:comment ref="G8" authorId="0">
      <x:text>
        <x:r>
          <x:t>来源：用户提供的EvalAI Test-Dev Result file；high overall=77.8</x:t>
        </x:r>
      </x:text>
    </x:comment>
    <x:comment ref="G9" authorId="0">
      <x:text>
        <x:r>
          <x:t>来源：用户提供的EvalAI Test-Dev Result file；low overall=76.48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<x:sst xmlns:x="http://schemas.openxmlformats.org/spreadsheetml/2006/main">
  <x:si>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TransPrune 主实验记录</x:t>
  </x:si>
  <x:si>
    <x:t xml:space="preserve">方法</x:t>
  </x:si>
  <x:si>
    <x:t xml:space="preserve">数据来源</x:t>
  </x:si>
  <x:si>
    <x:t xml:space="preserve">TFLOPs</x:t>
  </x:si>
  <x:si>
    <x:t xml:space="preserve">计算量占比</x:t>
  </x:si>
  <x:si>
    <x:t xml:space="preserve">汇总相对性能</x:t>
  </x:si>
  <x:si>
    <x:t xml:space="preserve">MME 感知分</x:t>
  </x:si>
  <x:si>
    <x:t xml:space="preserve">VQAv2</x:t>
  </x:si>
  <x:si>
    <x:t xml:space="preserve">SEED 图片</x:t>
  </x:si>
  <x:si>
    <x:t xml:space="preserve">TextVQA</x:t>
  </x:si>
  <x:si>
    <x:t xml:space="preserve">SQA 图片</x:t>
  </x:si>
  <x:si>
    <x:t xml:space="preserve">POPE F1</x:t>
  </x:si>
  <x:si>
    <x:t xml:space="preserve">GQA</x:t>
  </x:si>
  <x:si>
    <x:t xml:space="preserve">MMBench 英文</x:t>
  </x:si>
  <x:si>
    <x:t xml:space="preserve">结果状态</x:t>
  </x:si>
  <x:si>
    <x:t xml:space="preserve">原模型</x:t>
  </x:si>
  <x:si>
    <x:t xml:space="preserve">本次实测</x:t>
  </x:si>
  <x:si>
    <x:t xml:space="preserve">TransPrune-High</x:t>
  </x:si>
  <x:si>
    <x:t xml:space="preserve">TransPrune-Low</x:t>
  </x:si>
  <x:si>
    <x:t xml:space="preserve">汇总相对性能 = 八项“当前方法实测分数 ÷ 本次原模型分数”的平均值；八项不齐时留空。不是答题准确率。</x:t>
  </x:si>
  <x:si>
    <x:t xml:space="preserve">论文参考值：表 1，LLaVA-v1.5-7B</x:t>
  </x:si>
  <x:si>
    <x:t xml:space="preserve">来源：TransPrune，CVPR 2026，表 1，PDF 第 5 页。https://openaccess.thecvf.com/content/CVPR2026/papers/Li_TransPrune_Token_Transition_Pruning_for_Efficient_Large_Vision-Language_Model_CVPR_2026_paper.pdf</x:t>
  </x:si>
  <x:si>
    <x:t xml:space="preserve">配置说明</x:t>
  </x:si>
  <x:si>
    <x:t xml:space="preserve">论文</x:t>
  </x:si>
  <x:si>
    <x:t xml:space="preserve">无剪枝</x:t>
  </x:si>
  <x:si>
    <x:t xml:space="preserve">FastV</x:t>
  </x:si>
  <x:si>
    <x:t xml:space="preserve">K=2，R=0.5</x:t>
  </x:si>
  <x:si>
    <x:t xml:space="preserve">PDrop</x:t>
  </x:si>
  <x:si>
    <x:t xml:space="preserve">较温和预算</x:t>
  </x:si>
  <x:si>
    <x:t xml:space="preserve">SparseVLM</x:t>
  </x:si>
  <x:si>
    <x:t xml:space="preserve">High</x:t>
  </x:si>
  <x:si>
    <x:t xml:space="preserve">Low</x:t>
  </x:si>
  <x:si>
    <x:t xml:space="preserve">与论文同方法的差值：实测减论文</x:t>
  </x:si>
  <x:si>
    <x:t xml:space="preserve">MME 感知分差</x:t>
  </x:si>
  <x:si>
    <x:t xml:space="preserve">VQAv2 差</x:t>
  </x:si>
  <x:si>
    <x:t xml:space="preserve">SEED 差</x:t>
  </x:si>
  <x:si>
    <x:t xml:space="preserve">TextVQA 差</x:t>
  </x:si>
  <x:si>
    <x:t xml:space="preserve">SQA 差</x:t>
  </x:si>
  <x:si>
    <x:t xml:space="preserve">POPE 差</x:t>
  </x:si>
  <x:si>
    <x:t xml:space="preserve">GQA 差</x:t>
  </x:si>
  <x:si>
    <x:t xml:space="preserve">MMBench 差</x:t>
  </x:si>
  <x:si>
    <x:t xml:space="preserve">TFLOPs 差</x:t>
  </x:si>
  <x:si>
    <x:t xml:space="preserve">正值表示实测更高。准确率类差值按百分点解释；MME 为分数差。TFLOPs 越低越好，其余表中指标越高越好。</x:t>
  </x:si>
  <x:si>
    <x:t xml:space="preserve">效率测量记录</x:t>
  </x:si>
  <x:si>
    <x:t xml:space="preserve">黄色格填写正式测量结果；已验证的 token 数为配置记录。13.22 GiB 加载占用和调试计时不作为正式峰值/延迟。</x:t>
  </x:si>
  <x:si>
    <x:t xml:space="preserve">初始视觉 token</x:t>
  </x:si>
  <x:si>
    <x:t xml:space="preserve">最终视觉 token</x:t>
  </x:si>
  <x:si>
    <x:t xml:space="preserve">实测 TFLOPs</x:t>
  </x:si>
  <x:si>
    <x:t xml:space="preserve">Prefill 均值 ms</x:t>
  </x:si>
  <x:si>
    <x:t xml:space="preserve">Decode 均值 ms</x:t>
  </x:si>
  <x:si>
    <x:t xml:space="preserve">端到端均值 ms</x:t>
  </x:si>
  <x:si>
    <x:t xml:space="preserve">峰值 allocated GiB</x:t>
  </x:si>
  <x:si>
    <x:t xml:space="preserve">峰值 reserved GiB</x:t>
  </x:si>
  <x:si>
    <x:t xml:space="preserve">输出 token 数</x:t>
  </x:si>
  <x:si>
    <x:t xml:space="preserve">重复次数</x:t>
  </x:si>
  <x:si>
    <x:t xml:space="preserve">端到端加速比</x:t>
  </x:si>
  <x:si>
    <x:t xml:space="preserve">状态</x:t>
  </x:si>
  <x:si>
    <x:t xml:space="preserve">待运行</x:t>
  </x:si>
  <x:si>
    <x:t xml:space="preserve">测量条件：先统一，再比较</x:t>
  </x:si>
  <x:si>
    <x:t xml:space="preserve">GPU</x:t>
  </x:si>
  <x:si>
    <x:t xml:space="preserve">RTX 4090 D 24GB</x:t>
  </x:si>
  <x:si>
    <x:t xml:space="preserve">精度</x:t>
  </x:si>
  <x:si>
    <x:t xml:space="preserve">FP16</x:t>
  </x:si>
  <x:si>
    <x:t xml:space="preserve">测量样本/子集</x:t>
  </x:si>
  <x:si>
    <x:t xml:space="preserve">预热次数</x:t>
  </x:si>
  <x:si>
    <x:t xml:space="preserve">注意力实现、样本、生成策略要一致；记录实际生成长度和重复次数。</x:t>
  </x:si>
  <x:si>
    <x:t xml:space="preserve">注意力后端</x:t>
  </x:si>
  <x:si>
    <x:t xml:space="preserve">生成长度策略</x:t>
  </x:si>
  <x:si>
    <x:t xml:space="preserve">计时须预热、CUDA 同步；峰值显存需在相同边界重置并测量。</x:t>
  </x:si>
  <x:si>
    <x:t xml:space="preserve">Prefill 计时边界</x:t>
  </x:si>
  <x:si>
    <x:t xml:space="preserve">Decode 计时边界</x:t>
  </x:si>
  <x:si>
    <x:t xml:space="preserve">TFLOPs 为运算量，不能从显存或耗时直接换算；不把论文值填进实测。</x:t>
  </x:si>
  <x:si>
    <x:t xml:space="preserve">端到端计时边界</x:t>
  </x:si>
  <x:si>
    <x:t xml:space="preserve">FLOPs 统计口径</x:t>
  </x:si>
  <x:si>
    <x:t xml:space="preserve">论文表 8 参考：A100 40GB，MME</x:t>
  </x:si>
  <x:si>
    <x:t xml:space="preserve">来源：论文表 8。https://openaccess.thecvf.com/content/CVPR2026/papers/Li_TransPrune_Token_Transition_Pruning_for_Efficient_Large_Vision-Language_Model_CVPR_2026_paper.pdf</x:t>
  </x:si>
  <x:si>
    <x:t xml:space="preserve">论文延迟 ms</x:t>
  </x:si>
  <x:si>
    <x:t xml:space="preserve">论文显存 GB</x:t>
  </x:si>
  <x:si>
    <x:t xml:space="preserve">论文 MME 感知分</x:t>
  </x:si>
  <x:si>
    <x:t xml:space="preserve">TransPrune</x:t>
  </x:si>
  <x:si>
    <x:t xml:space="preserve">论文未在表 8 列出原模型延迟；硬件、计时边界与显存口径需核对，不能将这些数直接当作 4090 D 目标值。</x:t>
  </x:si>
  <x:si>
    <x:t xml:space="preserve">消融实验记录</x:t>
  </x:si>
  <x:si>
    <x:t xml:space="preserve">后续实验，尚未执行。先完成 MME 和 TextVQA 主实验，再逐项修改方法；比较时固定剪枝预算及生成设置。</x:t>
  </x:si>
  <x:si>
    <x:t xml:space="preserve">配置</x:t>
  </x:si>
  <x:si>
    <x:t xml:space="preserve">建议预算</x:t>
  </x:si>
  <x:si>
    <x:t xml:space="preserve">实现/运行状态</x:t>
  </x:si>
  <x:si>
    <x:t xml:space="preserve">论文定位</x:t>
  </x:si>
  <x:si>
    <x:t xml:space="preserve">仅 IGA</x:t>
  </x:si>
  <x:si>
    <x:t xml:space="preserve">待实现</x:t>
  </x:si>
  <x:si>
    <x:t xml:space="preserve">表 12</x:t>
  </x:si>
  <x:si>
    <x:t xml:space="preserve">IGA + 方向</x:t>
  </x:si>
  <x:si>
    <x:t xml:space="preserve">IGA + 幅度</x:t>
  </x:si>
  <x:si>
    <x:t xml:space="preserve">IGA + 完整 TTV</x:t>
  </x:si>
  <x:si>
    <x:t xml:space="preserve">主实验复用</x:t>
  </x:si>
  <x:si>
    <x:t xml:space="preserve">不累计 TTV</x:t>
  </x:si>
  <x:si>
    <x:t xml:space="preserve">表 11</x:t>
  </x:si>
  <x:si>
    <x:t xml:space="preserve">仅 TTV</x:t>
  </x:si>
  <x:si>
    <x:t xml:space="preserve">需核对论文设置</x:t>
  </x:si>
  <x:si>
    <x:t xml:space="preserve">表 7</x:t>
  </x:si>
  <x:si>
    <x:t xml:space="preserve">论文参考：表 7、11、12</x:t>
  </x:si>
  <x:si>
    <x:t xml:space="preserve">来源：本地论文对应表格；空白为该表未列。https://openaccess.thecvf.com/content/CVPR2026/papers/Li_TransPrune_Token_Transition_Pruning_for_Efficient_Large_Vision-Language_Model_CVPR_2026_paper.pdf</x:t>
  </x:si>
  <x:si>
    <x:t xml:space="preserve">论文设置</x:t>
  </x:si>
  <x:si>
    <x:t xml:space="preserve">说明</x:t>
  </x:si>
  <x:si>
    <x:t xml:space="preserve">High 对照</x:t>
  </x:si>
  <x:si>
    <x:t xml:space="preserve">累积对照</x:t>
  </x:si>
  <x:si>
    <x:t xml:space="preserve">仅录已核对指标</x:t>
  </x:si>
  <x:si>
    <x:t xml:space="preserve">TTV-only</x:t>
  </x:si>
  <x:si>
    <x:t xml:space="preserve">POPE 为 82.1</x:t>
  </x:si>
  <x:si>
    <x:t xml:space="preserve">每次只改变待验证的组成部分；不累计时使用当前层分数，不等同于在每次剪枝后清零。</x:t>
  </x:si>
  <x:si>
    <x:t xml:space="preserve">当前仓库方向项使用 1-cos，论文公式使用 1-|cos|；分别记录实现，不静默把二者视为同一版本。</x:t>
  </x:si>
  <x:si>
    <x:t xml:space="preserve">本表是待执行的实验安排；未填实测分数不表示实验失败或得分为 0。</x:t>
  </x:si>
</x:sst>
</file>

<file path=xl/styles.xml><?xml version="1.0" encoding="utf-8"?>
<x:styleSheet xmlns:x="http://schemas.openxmlformats.org/spreadsheetml/2006/main">
  <x:numFmts count="4">
    <x:numFmt numFmtId="176" formatCode="0.0"/>
    <x:numFmt numFmtId="177" formatCode="0.0%"/>
    <x:numFmt numFmtId="178" formatCode="\+0.00;\-0.00;0.00"/>
    <x:numFmt numFmtId="179" formatCode="0.00&quot;x&quot;"/>
  </x:numFmts>
  <x:fonts count="8">
    <x:font>
      <x:sz val="11"/>
      <x:name val="Carlito"/>
    </x:font>
    <x:font>
      <x:sz val="11"/>
      <x:color rgb="FF203047"/>
      <x:name val="Microsoft YaHei"/>
      <x:family val="2"/>
    </x:font>
    <x:font>
      <x:b/>
      <x:sz val="16"/>
      <x:color rgb="FF263C59"/>
      <x:name val="Microsoft YaHei"/>
      <x:family val="2"/>
    </x:font>
    <x:font>
      <x:sz val="10"/>
      <x:color rgb="FF526477"/>
      <x:name val="Microsoft YaHei"/>
      <x:family val="2"/>
    </x:font>
    <x:font>
      <x:b/>
      <x:sz val="11"/>
      <x:color rgb="FFFFFFFF"/>
      <x:name val="Microsoft YaHei"/>
      <x:family val="2"/>
    </x:font>
    <x:font>
      <x:b/>
      <x:sz val="11"/>
      <x:color rgb="FF263C59"/>
      <x:name val="Microsoft YaHei"/>
      <x:family val="2"/>
    </x:font>
    <x:font>
      <x:sz val="11"/>
      <x:name val="Carlito"/>
    </x:font>
    <x:font>
      <x:sz val="9"/>
      <x:name val="宋体"/>
      <x:family val="3"/>
    </x:font>
  </x:fonts>
  <x:fills count="6">
    <x:fill>
      <x:patternFill patternType="none"/>
    </x:fill>
    <x:fill>
      <x:patternFill patternType="gray125"/>
    </x:fill>
    <x:fill>
      <x:patternFill patternType="solid">
        <x:fgColor rgb="FF263C59"/>
      </x:patternFill>
    </x:fill>
    <x:fill>
      <x:patternFill patternType="solid">
        <x:fgColor rgb="FFFFF2CC"/>
      </x:patternFill>
    </x:fill>
    <x:fill>
      <x:patternFill patternType="solid">
        <x:fgColor rgb="FFEAF0F7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5D4"/>
      </x:bottom>
      <x:diagonal/>
    </x:border>
  </x:borders>
  <x:cellStyleXfs count="2">
    <x:xf numFmtId="0" fontId="0" fillId="0" borderId="0"/>
    <x:xf numFmtId="0" fontId="6" fillId="0" borderId="0"/>
  </x:cellStyleXfs>
  <x:cellXfs count="25">
    <x:xf numFmtId="0" fontId="0" fillId="0" borderId="0" xfId="0"/>
    <x:xf numFmtId="0" fontId="1" fillId="0" borderId="0" xfId="1" applyFont="1" applyAlignment="1">
      <x:alignment vertical="center"/>
    </x:xf>
    <x:xf numFmtId="0" fontId="2" fillId="0" borderId="0" xfId="1" applyFont="1" applyAlignment="1">
      <x:alignment vertical="center"/>
    </x:xf>
    <x:xf numFmtId="0" fontId="1" fillId="0" borderId="1" xfId="1" applyFont="1" applyBorder="1" applyAlignment="1">
      <x:alignment vertical="center"/>
    </x:xf>
    <x:xf numFmtId="0" fontId="3" fillId="0" borderId="0" xfId="1" applyFont="1" applyAlignment="1">
      <x:alignment vertical="center"/>
    </x:xf>
    <x:xf numFmtId="0" fontId="4" fillId="2" borderId="0" xfId="1" applyFont="1" applyFill="1" applyAlignment="1">
      <x:alignment horizontal="center" vertical="center" wrapText="1"/>
    </x:xf>
    <x:xf numFmtId="176" fontId="1" fillId="3" borderId="0" xfId="1" applyNumberFormat="1" applyFont="1" applyFill="1" applyAlignment="1">
      <x:alignment vertical="center"/>
    </x:xf>
    <x:xf numFmtId="176" fontId="1" fillId="4" borderId="0" xfId="1" applyNumberFormat="1" applyFont="1" applyFill="1" applyAlignment="1">
      <x:alignment vertical="center"/>
    </x:xf>
    <x:xf numFmtId="177" fontId="1" fillId="4" borderId="0" xfId="1" applyNumberFormat="1" applyFont="1" applyFill="1" applyAlignment="1">
      <x:alignment vertical="center"/>
    </x:xf>
    <x:xf numFmtId="2" fontId="1" fillId="4" borderId="0" xfId="1" applyNumberFormat="1" applyFont="1" applyFill="1" applyAlignment="1">
      <x:alignment vertical="center"/>
    </x:xf>
    <x:xf numFmtId="0" fontId="5" fillId="0" borderId="0" xfId="1" applyFont="1" applyAlignment="1">
      <x:alignment vertical="center"/>
    </x:xf>
    <x:xf numFmtId="2" fontId="1" fillId="0" borderId="0" xfId="1" applyNumberFormat="1" applyFont="1" applyAlignment="1">
      <x:alignment vertical="center"/>
    </x:xf>
    <x:xf numFmtId="177" fontId="1" fillId="0" borderId="0" xfId="1" applyNumberFormat="1" applyFont="1" applyAlignment="1">
      <x:alignment vertical="center"/>
    </x:xf>
    <x:xf numFmtId="176" fontId="1" fillId="0" borderId="0" xfId="1" applyNumberFormat="1" applyFont="1" applyAlignment="1">
      <x:alignment vertical="center"/>
    </x:xf>
    <x:xf numFmtId="178" fontId="1" fillId="4" borderId="0" xfId="1" applyNumberFormat="1" applyFont="1" applyFill="1" applyAlignment="1">
      <x:alignment vertical="center"/>
    </x:xf>
    <x:xf numFmtId="1" fontId="1" fillId="3" borderId="0" xfId="1" applyNumberFormat="1" applyFont="1" applyFill="1" applyAlignment="1">
      <x:alignment vertical="center"/>
    </x:xf>
    <x:xf numFmtId="49" fontId="1" fillId="3" borderId="0" xfId="1" applyNumberFormat="1" applyFont="1" applyFill="1" applyAlignment="1">
      <x:alignment vertical="center"/>
    </x:xf>
    <x:xf numFmtId="2" fontId="1" fillId="3" borderId="0" xfId="1" applyNumberFormat="1" applyFont="1" applyFill="1" applyAlignment="1">
      <x:alignment vertical="center"/>
    </x:xf>
    <x:xf numFmtId="179" fontId="1" fillId="4" borderId="0" xfId="1" applyNumberFormat="1" applyFont="1" applyFill="1" applyAlignment="1">
      <x:alignment vertical="center"/>
    </x:xf>
    <x:xf numFmtId="0" fontId="1" fillId="0" borderId="0" xfId="1" applyFont="1" applyAlignment="1">
      <x:alignment vertical="center" wrapText="1"/>
    </x:xf>
    <x:xf numFmtId="2" fontId="1" fillId="3" borderId="0" xfId="1" applyNumberFormat="1" applyFont="1" applyFill="1" applyAlignment="1">
      <x:alignment horizontal="right" vertical="center"/>
    </x:xf>
    <x:xf numFmtId="0" fontId="1" fillId="0" borderId="0" xfId="1" applyFont="1" applyAlignment="1">
      <x:alignment vertical="center" wrapText="1"/>
    </x:xf>
    <x:xf numFmtId="49" fontId="1" fillId="3" borderId="0" xfId="1" applyNumberFormat="1" applyFont="1" applyFill="1" applyAlignment="1">
      <x:alignment vertical="center" wrapText="1"/>
    </x:xf>
    <x:xf numFmtId="0" fontId="3" fillId="0" borderId="0" xfId="1" applyFont="1" applyAlignment="1">
      <x:alignment vertical="center" wrapText="1"/>
    </x:xf>
    <x:xf numFmtId="2" fontId="1" fillId="5" borderId="0" xfId="0" applyNumberFormat="1" applyFont="1" applyFill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fce9746b04149" /><Relationship Type="http://schemas.openxmlformats.org/officeDocument/2006/relationships/theme" Target="/xl/theme/theme1.xml" Id="R0757fa141b8f468f" /><Relationship Type="http://schemas.openxmlformats.org/officeDocument/2006/relationships/sharedStrings" Target="/xl/sharedStrings.xml" Id="R13a7b6d85c7a455a" /><Relationship Type="http://schemas.openxmlformats.org/officeDocument/2006/relationships/worksheet" Target="/xl/worksheets/sheet1.xml" Id="Re06f62723fcf4a74" /><Relationship Type="http://schemas.openxmlformats.org/officeDocument/2006/relationships/worksheet" Target="/xl/worksheets/sheet2.xml" Id="R82d6e0e478cc470f" /><Relationship Type="http://schemas.openxmlformats.org/officeDocument/2006/relationships/worksheet" Target="/xl/worksheets/sheet3.xml" Id="R2fcac4221a67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f35dbc0b3c64148" /><Relationship Type="http://schemas.openxmlformats.org/officeDocument/2006/relationships/vmlDrawing" Target="/xl/drawings/vmldrawing.vml" Id="Rca78f057be3a4041" /></Relationships>
</file>

<file path=xl/worksheets/sheet1.xml><?xml version="1.0" encoding="utf-8"?>
<x:worksheet xmlns:x="http://schemas.openxmlformats.org/spreadsheetml/2006/main">
  <x:sheetPr>
    <x:tabColor rgb="FF263C59"/>
  </x:sheetPr>
  <x:sheetViews>
    <x:sheetView showGridLines="0" workbookViewId="0">
      <x:pane xSplit="2" ySplit="24" topLeftCell="C25" activePane="bottomRight" state="frozen"/>
    </x:sheetView>
  </x:sheetViews>
  <x:sheetFormatPr defaultRowHeight="14"/>
  <x:cols>
    <x:col min="1" max="1" width="25" customWidth="1"/>
    <x:col min="2" max="2" width="13" customWidth="1"/>
    <x:col min="3" max="3" width="12" customWidth="1"/>
    <x:col min="4" max="4" width="14" customWidth="1"/>
    <x:col min="5" max="5" width="17" customWidth="1"/>
    <x:col min="6" max="6" width="14" customWidth="1"/>
    <x:col min="7" max="8" width="12" customWidth="1"/>
    <x:col min="9" max="9" width="13" customWidth="1"/>
    <x:col min="10" max="12" width="12" customWidth="1"/>
    <x:col min="13" max="13" width="15" customWidth="1"/>
    <x:col min="14" max="14" width="18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">
        <x:v>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4" customHeight="1">
      <x:c r="A4" s="4" t="str">
        <x:v>已录入23组确认分数：20组本地评分、3组VQAv2在线评分。GQA原模型未完成，汇总相对性能暂留空。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42" customHeight="1">
      <x:c r="A6" s="5" t="s">
        <x:v>1</x:v>
      </x:c>
      <x:c r="B6" s="5" t="s">
        <x:v>2</x:v>
      </x:c>
      <x:c r="C6" s="5" t="s">
        <x:v>3</x:v>
      </x:c>
      <x:c r="D6" s="5" t="s">
        <x:v>4</x:v>
      </x:c>
      <x:c r="E6" s="5" t="s">
        <x:v>5</x:v>
      </x:c>
      <x:c r="F6" s="5" t="s">
        <x:v>6</x:v>
      </x:c>
      <x:c r="G6" s="5" t="s">
        <x:v>7</x:v>
      </x:c>
      <x:c r="H6" s="5" t="s">
        <x:v>8</x:v>
      </x:c>
      <x:c r="I6" s="5" t="s">
        <x:v>9</x:v>
      </x:c>
      <x:c r="J6" s="5" t="s">
        <x:v>10</x:v>
      </x:c>
      <x:c r="K6" s="5" t="s">
        <x:v>11</x:v>
      </x:c>
      <x:c r="L6" s="5" t="s">
        <x:v>12</x:v>
      </x:c>
      <x:c r="M6" s="5" t="s">
        <x:v>13</x:v>
      </x:c>
      <x:c r="N6" s="5" t="s">
        <x:v>14</x:v>
      </x:c>
    </x:row>
    <x:row r="7" ht="24" customHeight="1">
      <x:c r="A7" s="1" t="s">
        <x:v>15</x:v>
      </x:c>
      <x:c r="B7" s="1" t="s">
        <x:v>16</x:v>
      </x:c>
      <x:c r="C7" s="9" t="str">
        <x:f>IF(ISNUMBER(效率!D7),效率!D7,"")</x:f>
      </x:c>
      <x:c r="D7" s="8" t="str">
        <x:f>IF(COUNT(C7,$C$7)&lt;2,"",IF($C$7=0,"",C7/$C$7))</x:f>
      </x:c>
      <x:c r="E7" s="8" t="str">
        <x:f>IF(AND(COUNT(F7:M7)=8,COUNT($F$7:$M$7)=8,MIN($F$7:$M$7)&gt;0),AVERAGE(F7/F$7,G7/G$7,H7/H$7,I7/I$7,J7/J$7,K7/K$7,L7/L$7,M7/M$7),"")</x:f>
      </x:c>
      <x:c r="F7" s="9" t="n">
        <x:v>1505.8788515406163</x:v>
      </x:c>
      <x:c r="G7" s="24" t="n">
        <x:v>78.52</x:v>
      </x:c>
      <x:c r="H7" s="20" t="n">
        <x:v>66.19124569662053</x:v>
      </x:c>
      <x:c r="I7" s="20" t="n">
        <x:v>58.21</x:v>
      </x:c>
      <x:c r="J7" s="20" t="n">
        <x:v>69.46</x:v>
      </x:c>
      <x:c r="K7" s="20" t="n">
        <x:v>85.91996787280682</x:v>
      </x:c>
      <x:c r="L7" s="20"/>
      <x:c r="M7" s="20" t="n">
        <x:v>64.28571428571429</x:v>
      </x:c>
      <x:c r="N7" s="1" t="str">
        <x:f>IF(COUNT(F7:M7)=0,"待录入",IF(COUNT(F7:M7)=8,"八项已录入","部分已录入"))</x:f>
        <x:v>部分已录入</x:v>
      </x:c>
    </x:row>
    <x:row r="8" ht="24" customHeight="1">
      <x:c r="A8" s="1" t="s">
        <x:v>17</x:v>
      </x:c>
      <x:c r="B8" s="1" t="s">
        <x:v>16</x:v>
      </x:c>
      <x:c r="C8" s="9" t="str">
        <x:f>IF(ISNUMBER(效率!D8),效率!D8,"")</x:f>
      </x:c>
      <x:c r="D8" s="8" t="str">
        <x:f>IF(COUNT(C8,$C$7)&lt;2,"",IF($C$7=0,"",C8/$C$7))</x:f>
      </x:c>
      <x:c r="E8" s="8" t="str">
        <x:f>IF(AND(COUNT(F8:M8)=8,COUNT($F$7:$M$7)=8,MIN($F$7:$M$7)&gt;0),AVERAGE(F8/F$7,G8/G$7,H8/H$7,I8/I$7,J8/J$7,K8/K$7,L8/L$7,M8/M$7),"")</x:f>
      </x:c>
      <x:c r="F8" s="9" t="n">
        <x:v>1521.6852741096438</x:v>
      </x:c>
      <x:c r="G8" s="24" t="n">
        <x:v>77.8</x:v>
      </x:c>
      <x:c r="H8" s="20" t="n">
        <x:v>65.68537904868967</x:v>
      </x:c>
      <x:c r="I8" s="20" t="n">
        <x:v>57.85</x:v>
      </x:c>
      <x:c r="J8" s="20" t="n">
        <x:v>69.51</x:v>
      </x:c>
      <x:c r="K8" s="20" t="n">
        <x:v>84.99709669265845</x:v>
      </x:c>
      <x:c r="L8" s="20" t="n">
        <x:v>61.46</x:v>
      </x:c>
      <x:c r="M8" s="20" t="n">
        <x:v>65.47619047619048</x:v>
      </x:c>
      <x:c r="N8" s="1" t="str">
        <x:f>IF(COUNT(F8:M8)=0,"待录入",IF(COUNT(F8:M8)=8,"八项已录入","部分已录入"))</x:f>
        <x:v>八项已录入</x:v>
      </x:c>
    </x:row>
    <x:row r="9" ht="24" customHeight="1">
      <x:c r="A9" s="1" t="s">
        <x:v>18</x:v>
      </x:c>
      <x:c r="B9" s="1" t="s">
        <x:v>16</x:v>
      </x:c>
      <x:c r="C9" s="9" t="str">
        <x:f>IF(ISNUMBER(效率!D9),效率!D9,"")</x:f>
      </x:c>
      <x:c r="D9" s="8" t="str">
        <x:f>IF(COUNT(C9,$C$7)&lt;2,"",IF($C$7=0,"",C9/$C$7))</x:f>
      </x:c>
      <x:c r="E9" s="8" t="str">
        <x:f>IF(AND(COUNT(F9:M9)=8,COUNT($F$7:$M$7)=8,MIN($F$7:$M$7)&gt;0),AVERAGE(F9/F$7,G9/G$7,H9/H$7,I9/I$7,J9/J$7,K9/K$7,L9/L$7,M9/M$7),"")</x:f>
      </x:c>
      <x:c r="F9" s="9" t="n">
        <x:v>1475.3912565026012</x:v>
      </x:c>
      <x:c r="G9" s="24" t="n">
        <x:v>76.48</x:v>
      </x:c>
      <x:c r="H9" s="20" t="n">
        <x:v>64.11859762523713</x:v>
      </x:c>
      <x:c r="I9" s="20" t="n">
        <x:v>56.52</x:v>
      </x:c>
      <x:c r="J9" s="20" t="n">
        <x:v>68.77</x:v>
      </x:c>
      <x:c r="K9" s="20" t="n">
        <x:v>84.75755949539463</x:v>
      </x:c>
      <x:c r="L9" s="20" t="n">
        <x:v>59.9</x:v>
      </x:c>
      <x:c r="M9" s="20" t="n">
        <x:v>64.88095238095238</x:v>
      </x:c>
      <x:c r="N9" s="1" t="str">
        <x:f>IF(COUNT(F9:M9)=0,"待录入",IF(COUNT(F9:M9)=8,"八项已录入","部分已录入"))</x:f>
        <x:v>八项已录入</x:v>
      </x:c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4" customHeight="1">
      <x:c r="A11" s="4" t="str">
        <x:v>MME使用评分日志中的感知总分；TFLOPs从“效率”读取。其余七项填写0–100数值，如58.2。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4" t="s">
        <x:v>19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4" t="str">
        <x:v>POPE为三类F1等权均值；MMBench为本地exact_matching/circular，和论文在线评分的一致性待确认。核对日期：2026-10-13。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0" t="s">
        <x:v>20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4" t="s">
        <x:v>21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42" customHeight="1">
      <x:c r="A19" s="5" t="s">
        <x:v>1</x:v>
      </x:c>
      <x:c r="B19" s="5" t="s">
        <x:v>2</x:v>
      </x:c>
      <x:c r="C19" s="5" t="s">
        <x:v>3</x:v>
      </x:c>
      <x:c r="D19" s="5" t="s">
        <x:v>4</x:v>
      </x:c>
      <x:c r="E19" s="5" t="s">
        <x:v>5</x:v>
      </x:c>
      <x:c r="F19" s="5" t="s">
        <x:v>6</x:v>
      </x:c>
      <x:c r="G19" s="5" t="s">
        <x:v>7</x:v>
      </x:c>
      <x:c r="H19" s="5" t="s">
        <x:v>8</x:v>
      </x:c>
      <x:c r="I19" s="5" t="s">
        <x:v>9</x:v>
      </x:c>
      <x:c r="J19" s="5" t="s">
        <x:v>10</x:v>
      </x:c>
      <x:c r="K19" s="5" t="s">
        <x:v>11</x:v>
      </x:c>
      <x:c r="L19" s="5" t="s">
        <x:v>12</x:v>
      </x:c>
      <x:c r="M19" s="5" t="s">
        <x:v>13</x:v>
      </x:c>
      <x:c r="N19" s="5" t="s">
        <x:v>22</x:v>
      </x:c>
    </x:row>
    <x:row r="20" ht="24" customHeight="1">
      <x:c r="A20" s="1" t="s">
        <x:v>15</x:v>
      </x:c>
      <x:c r="B20" s="1" t="s">
        <x:v>23</x:v>
      </x:c>
      <x:c r="C20" s="11">
        <x:v>3.82</x:v>
      </x:c>
      <x:c r="D20" s="12">
        <x:v>1</x:v>
      </x:c>
      <x:c r="E20" s="12">
        <x:v>1</x:v>
      </x:c>
      <x:c r="F20" s="1">
        <x:v>1506</x:v>
      </x:c>
      <x:c r="G20" s="13">
        <x:v>78.5</x:v>
      </x:c>
      <x:c r="H20" s="13">
        <x:v>66.2</x:v>
      </x:c>
      <x:c r="I20" s="13">
        <x:v>58.2</x:v>
      </x:c>
      <x:c r="J20" s="13">
        <x:v>69.5</x:v>
      </x:c>
      <x:c r="K20" s="13">
        <x:v>85.9</x:v>
      </x:c>
      <x:c r="L20" s="13">
        <x:v>61.9</x:v>
      </x:c>
      <x:c r="M20" s="13">
        <x:v>64.599999999999994</x:v>
      </x:c>
      <x:c r="N20" s="1" t="s">
        <x:v>24</x:v>
      </x:c>
    </x:row>
    <x:row r="21" ht="24" customHeight="1">
      <x:c r="A21" s="1" t="s">
        <x:v>25</x:v>
      </x:c>
      <x:c r="B21" s="1" t="s">
        <x:v>23</x:v>
      </x:c>
      <x:c r="C21" s="11">
        <x:v>2.0099999999999998</x:v>
      </x:c>
      <x:c r="D21" s="12">
        <x:v>0.52600000000000002</x:v>
      </x:c>
      <x:c r="E21" s="12">
        <x:v>0.97799999999999998</x:v>
      </x:c>
      <x:c r="F21" s="1">
        <x:v>1474</x:v>
      </x:c>
      <x:c r="G21" s="13">
        <x:v>77</x:v>
      </x:c>
      <x:c r="H21" s="13">
        <x:v>64</x:v>
      </x:c>
      <x:c r="I21" s="13">
        <x:v>57.2</x:v>
      </x:c>
      <x:c r="J21" s="13">
        <x:v>68.5</x:v>
      </x:c>
      <x:c r="K21" s="13">
        <x:v>84</x:v>
      </x:c>
      <x:c r="L21" s="13">
        <x:v>59.4</x:v>
      </x:c>
      <x:c r="M21" s="13">
        <x:v>64.2</x:v>
      </x:c>
      <x:c r="N21" s="1" t="s">
        <x:v>26</x:v>
      </x:c>
    </x:row>
    <x:row r="22" ht="24" customHeight="1">
      <x:c r="A22" s="1" t="s">
        <x:v>27</x:v>
      </x:c>
      <x:c r="B22" s="1" t="s">
        <x:v>23</x:v>
      </x:c>
      <x:c r="C22" s="11">
        <x:v>1.78</x:v>
      </x:c>
      <x:c r="D22" s="12">
        <x:v>0.46600000000000003</x:v>
      </x:c>
      <x:c r="E22" s="12">
        <x:v>0.98799999999999999</x:v>
      </x:c>
      <x:c r="F22" s="1">
        <x:v>1500</x:v>
      </x:c>
      <x:c r="G22" s="13">
        <x:v>77.7</x:v>
      </x:c>
      <x:c r="H22" s="13">
        <x:v>64.3</x:v>
      </x:c>
      <x:c r="I22" s="13">
        <x:v>57.5</x:v>
      </x:c>
      <x:c r="J22" s="13">
        <x:v>69.400000000000006</x:v>
      </x:c>
      <x:c r="K22" s="13">
        <x:v>84.8</x:v>
      </x:c>
      <x:c r="L22" s="13">
        <x:v>60.1</x:v>
      </x:c>
      <x:c r="M22" s="13">
        <x:v>64.900000000000006</x:v>
      </x:c>
      <x:c r="N22" s="1" t="s">
        <x:v>28</x:v>
      </x:c>
    </x:row>
    <x:row r="23" ht="24" customHeight="1">
      <x:c r="A23" s="1" t="s">
        <x:v>29</x:v>
      </x:c>
      <x:c r="B23" s="1" t="s">
        <x:v>23</x:v>
      </x:c>
      <x:c r="C23" s="11">
        <x:v>1.57</x:v>
      </x:c>
      <x:c r="D23" s="12">
        <x:v>0.41099999999999998</x:v>
      </x:c>
      <x:c r="E23" s="12">
        <x:v>0.98799999999999999</x:v>
      </x:c>
      <x:c r="F23" s="1">
        <x:v>1484</x:v>
      </x:c>
      <x:c r="G23" s="13">
        <x:v>77.599999999999994</x:v>
      </x:c>
      <x:c r="H23" s="13">
        <x:v>64.900000000000006</x:v>
      </x:c>
      <x:c r="I23" s="13">
        <x:v>58</x:v>
      </x:c>
      <x:c r="J23" s="13">
        <x:v>67.7</x:v>
      </x:c>
      <x:c r="K23" s="13">
        <x:v>85.7</x:v>
      </x:c>
      <x:c r="L23" s="13">
        <x:v>60.6</x:v>
      </x:c>
      <x:c r="M23" s="13">
        <x:v>64.7</x:v>
      </x:c>
      <x:c r="N23" s="1" t="s">
        <x:v>28</x:v>
      </x:c>
    </x:row>
    <x:row r="24" ht="24" customHeight="1">
      <x:c r="A24" s="1" t="s">
        <x:v>17</x:v>
      </x:c>
      <x:c r="B24" s="1" t="s">
        <x:v>23</x:v>
      </x:c>
      <x:c r="C24" s="11">
        <x:v>1.56</x:v>
      </x:c>
      <x:c r="D24" s="12">
        <x:v>0.40799999999999997</x:v>
      </x:c>
      <x:c r="E24" s="12">
        <x:v>1</x:v>
      </x:c>
      <x:c r="F24" s="1">
        <x:v>1540</x:v>
      </x:c>
      <x:c r="G24" s="13">
        <x:v>77.900000000000006</x:v>
      </x:c>
      <x:c r="H24" s="13">
        <x:v>65.7</x:v>
      </x:c>
      <x:c r="I24" s="13">
        <x:v>57.8</x:v>
      </x:c>
      <x:c r="J24" s="13">
        <x:v>69.5</x:v>
      </x:c>
      <x:c r="K24" s="13">
        <x:v>85</x:v>
      </x:c>
      <x:c r="L24" s="13">
        <x:v>61.4</x:v>
      </x:c>
      <x:c r="M24" s="13">
        <x:v>66</x:v>
      </x:c>
      <x:c r="N24" s="1" t="s">
        <x:v>30</x:v>
      </x:c>
    </x:row>
    <x:row r="25" ht="24" customHeight="1">
      <x:c r="A25" s="1" t="s">
        <x:v>18</x:v>
      </x:c>
      <x:c r="B25" s="1" t="s">
        <x:v>23</x:v>
      </x:c>
      <x:c r="C25" s="11">
        <x:v>1.19</x:v>
      </x:c>
      <x:c r="D25" s="12">
        <x:v>0.312</x:v>
      </x:c>
      <x:c r="E25" s="12">
        <x:v>0.98399999999999999</x:v>
      </x:c>
      <x:c r="F25" s="1">
        <x:v>1491</x:v>
      </x:c>
      <x:c r="G25" s="13">
        <x:v>76.599999999999994</x:v>
      </x:c>
      <x:c r="H25" s="13">
        <x:v>64.2</x:v>
      </x:c>
      <x:c r="I25" s="13">
        <x:v>56.5</x:v>
      </x:c>
      <x:c r="J25" s="13">
        <x:v>68.7</x:v>
      </x:c>
      <x:c r="K25" s="13">
        <x:v>85.1</x:v>
      </x:c>
      <x:c r="L25" s="13">
        <x:v>60</x:v>
      </x:c>
      <x:c r="M25" s="13">
        <x:v>65.599999999999994</x:v>
      </x:c>
      <x:c r="N25" s="1" t="s">
        <x:v>31</x:v>
      </x:c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A28" s="10" t="s">
        <x:v>32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42" customHeight="1">
      <x:c r="A30" s="5" t="s">
        <x:v>1</x:v>
      </x:c>
      <x:c r="B30" s="5" t="s">
        <x:v>33</x:v>
      </x:c>
      <x:c r="C30" s="5" t="s">
        <x:v>34</x:v>
      </x:c>
      <x:c r="D30" s="5" t="s">
        <x:v>35</x:v>
      </x:c>
      <x:c r="E30" s="5" t="s">
        <x:v>36</x:v>
      </x:c>
      <x:c r="F30" s="5" t="s">
        <x:v>37</x:v>
      </x:c>
      <x:c r="G30" s="5" t="s">
        <x:v>38</x:v>
      </x:c>
      <x:c r="H30" s="5" t="s">
        <x:v>39</x:v>
      </x:c>
      <x:c r="I30" s="5" t="s">
        <x:v>40</x:v>
      </x:c>
      <x:c r="J30" s="5" t="s">
        <x:v>41</x:v>
      </x:c>
      <x:c r="K30" s="1"/>
      <x:c r="L30" s="1"/>
      <x:c r="M30" s="1"/>
      <x:c r="N30" s="1"/>
    </x:row>
    <x:row r="31" ht="24" customHeight="1">
      <x:c r="A31" s="1" t="s">
        <x:v>15</x:v>
      </x:c>
      <x:c r="B31" s="14" t="n">
        <x:f t="shared" ref="B31:I31" si="0">IF(ISNUMBER(F7),F7-F20,"")</x:f>
        <x:v>-0.1211484593836758</x:v>
      </x:c>
      <x:c r="C31" s="14" t="n">
        <x:f t="shared" si="0">IF(ISNUMBER(G7),G7-G20,"")</x:f>
        <x:v>0.01999999999999602</x:v>
      </x:c>
      <x:c r="D31" s="14" t="n">
        <x:f t="shared" si="0">IF(ISNUMBER(H7),H7-H20,"")</x:f>
        <x:v>-0.008754303379475914</x:v>
      </x:c>
      <x:c r="E31" s="14" t="n">
        <x:f t="shared" si="0">IF(ISNUMBER(I7),I7-I20,"")</x:f>
        <x:v>0.00999999999999801</x:v>
      </x:c>
      <x:c r="F31" s="14" t="n">
        <x:f t="shared" si="0">IF(ISNUMBER(J7),J7-J20,"")</x:f>
        <x:v>-0.04000000000000625</x:v>
      </x:c>
      <x:c r="G31" s="14" t="n">
        <x:f t="shared" si="0">IF(ISNUMBER(K7),K7-K20,"")</x:f>
        <x:v>0.019967872806816445</x:v>
      </x:c>
      <x:c r="H31" s="14" t="str">
        <x:f t="shared" si="0">IF(ISNUMBER(L7),L7-L20,"")</x:f>
      </x:c>
      <x:c r="I31" s="14" t="n">
        <x:f t="shared" si="0">IF(ISNUMBER(M7),M7-M20,"")</x:f>
        <x:v>-0.3142857142857025</x:v>
      </x:c>
      <x:c r="J31" s="14" t="str">
        <x:f>IF(ISNUMBER(C7),C7-C20,"")</x:f>
      </x:c>
      <x:c r="K31" s="1"/>
      <x:c r="L31" s="1"/>
      <x:c r="M31" s="1"/>
      <x:c r="N31" s="1"/>
    </x:row>
    <x:row r="32" ht="24" customHeight="1">
      <x:c r="A32" s="1" t="s">
        <x:v>17</x:v>
      </x:c>
      <x:c r="B32" s="14" t="n">
        <x:f t="shared" ref="B32:I33" si="1">IF(ISNUMBER(F8),F8-F24,"")</x:f>
        <x:v>-18.314725890356158</x:v>
      </x:c>
      <x:c r="C32" s="14" t="n">
        <x:f t="shared" si="1">IF(ISNUMBER(G8),G8-G24,"")</x:f>
        <x:v>-0.10000000000000853</x:v>
      </x:c>
      <x:c r="D32" s="14" t="n">
        <x:f t="shared" si="1">IF(ISNUMBER(H8),H8-H24,"")</x:f>
        <x:v>-0.014620951310334362</x:v>
      </x:c>
      <x:c r="E32" s="14" t="n">
        <x:f t="shared" si="1">IF(ISNUMBER(I8),I8-I24,"")</x:f>
        <x:v>0.05000000000000426</x:v>
      </x:c>
      <x:c r="F32" s="14" t="n">
        <x:f t="shared" si="1">IF(ISNUMBER(J8),J8-J24,"")</x:f>
        <x:v>0.010000000000005116</x:v>
      </x:c>
      <x:c r="G32" s="14" t="n">
        <x:f t="shared" si="1">IF(ISNUMBER(K8),K8-K24,"")</x:f>
        <x:v>-0.0029033073415547506</x:v>
      </x:c>
      <x:c r="H32" s="14" t="n">
        <x:f t="shared" si="1">IF(ISNUMBER(L8),L8-L24,"")</x:f>
        <x:v>0.060000000000002274</x:v>
      </x:c>
      <x:c r="I32" s="14" t="n">
        <x:f t="shared" si="1">IF(ISNUMBER(M8),M8-M24,"")</x:f>
        <x:v>-0.5238095238095184</x:v>
      </x:c>
      <x:c r="J32" s="14" t="str">
        <x:f>IF(ISNUMBER(C8),C8-C24,"")</x:f>
      </x:c>
      <x:c r="K32" s="1"/>
      <x:c r="L32" s="1"/>
      <x:c r="M32" s="1"/>
      <x:c r="N32" s="1"/>
    </x:row>
    <x:row r="33" ht="24" customHeight="1">
      <x:c r="A33" s="1" t="s">
        <x:v>18</x:v>
      </x:c>
      <x:c r="B33" s="14" t="n">
        <x:f t="shared" si="1">IF(ISNUMBER(F9),F9-F25,"")</x:f>
        <x:v>-15.608743497398791</x:v>
      </x:c>
      <x:c r="C33" s="14" t="n">
        <x:f t="shared" si="1">IF(ISNUMBER(G9),G9-G25,"")</x:f>
        <x:v>-0.11999999999999034</x:v>
      </x:c>
      <x:c r="D33" s="14" t="n">
        <x:f t="shared" si="1">IF(ISNUMBER(H9),H9-H25,"")</x:f>
        <x:v>-0.08140237476287382</x:v>
      </x:c>
      <x:c r="E33" s="14" t="n">
        <x:f t="shared" si="1">IF(ISNUMBER(I9),I9-I25,"")</x:f>
        <x:v>0.020000000000003126</x:v>
      </x:c>
      <x:c r="F33" s="14" t="n">
        <x:f t="shared" si="1">IF(ISNUMBER(J9),J9-J25,"")</x:f>
        <x:v>0.06999999999999318</x:v>
      </x:c>
      <x:c r="G33" s="14" t="n">
        <x:f t="shared" si="1">IF(ISNUMBER(K9),K9-K25,"")</x:f>
        <x:v>-0.34244050460536357</x:v>
      </x:c>
      <x:c r="H33" s="14" t="n">
        <x:f t="shared" si="1">IF(ISNUMBER(L9),L9-L25,"")</x:f>
        <x:v>-0.10000000000000142</x:v>
      </x:c>
      <x:c r="I33" s="14" t="n">
        <x:f t="shared" si="1">IF(ISNUMBER(M9),M9-M25,"")</x:f>
        <x:v>-0.7190476190476147</x:v>
      </x:c>
      <x:c r="J33" s="14" t="str">
        <x:f>IF(ISNUMBER(C9),C9-C25,"")</x:f>
      </x:c>
      <x:c r="K33" s="1"/>
      <x:c r="L33" s="1"/>
      <x:c r="M33" s="1"/>
      <x:c r="N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4" t="s">
        <x:v>42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</x:sheetData>
  <x:pageMargins left="0.7" right="0.7" top="0.75" bottom="0.75" header="0.3" footer="0.3"/>
  <x:legacyDrawing xmlns:r="http://schemas.openxmlformats.org/officeDocument/2006/relationships" r:id="Rca78f057be3a4041"/>
</x:worksheet>
</file>

<file path=xl/worksheets/sheet2.xml><?xml version="1.0" encoding="utf-8"?>
<x:worksheet xmlns:x="http://schemas.openxmlformats.org/spreadsheetml/2006/main">
  <x:sheetPr>
    <x:tabColor rgb="FF263C59"/>
  </x:sheetPr>
  <x:sheetViews>
    <x:sheetView showGridLines="0" workbookViewId="0">
      <x:pane xSplit="1" ySplit="6" topLeftCell="B7" activePane="bottomRight" state="frozen"/>
    </x:sheetView>
  </x:sheetViews>
  <x:sheetFormatPr defaultRowHeight="14"/>
  <x:cols>
    <x:col min="1" max="1" width="25" customWidth="1"/>
    <x:col min="2" max="3" width="14" customWidth="1"/>
    <x:col min="4" max="4" width="13" customWidth="1"/>
    <x:col min="5" max="6" width="16" customWidth="1"/>
    <x:col min="7" max="7" width="18" customWidth="1"/>
    <x:col min="8" max="9" width="19" customWidth="1"/>
    <x:col min="10" max="10" width="15" customWidth="1"/>
    <x:col min="11" max="11" width="13" customWidth="1"/>
    <x:col min="12" max="12" width="17" customWidth="1"/>
    <x:col min="13" max="13" width="22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2" t="s">
        <x:v>43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4" customHeight="1">
      <x:c r="A4" s="4" t="s">
        <x:v>44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2" customHeight="1">
      <x:c r="A6" s="5" t="s">
        <x:v>1</x:v>
      </x:c>
      <x:c r="B6" s="5" t="s">
        <x:v>45</x:v>
      </x:c>
      <x:c r="C6" s="5" t="s">
        <x:v>46</x:v>
      </x:c>
      <x:c r="D6" s="5" t="s">
        <x:v>47</x:v>
      </x:c>
      <x:c r="E6" s="5" t="s">
        <x:v>48</x:v>
      </x:c>
      <x:c r="F6" s="5" t="s">
        <x:v>49</x:v>
      </x:c>
      <x:c r="G6" s="5" t="s">
        <x:v>50</x:v>
      </x:c>
      <x:c r="H6" s="5" t="s">
        <x:v>51</x:v>
      </x:c>
      <x:c r="I6" s="5" t="s">
        <x:v>52</x:v>
      </x:c>
      <x:c r="J6" s="5" t="s">
        <x:v>53</x:v>
      </x:c>
      <x:c r="K6" s="5" t="s">
        <x:v>54</x:v>
      </x:c>
      <x:c r="L6" s="5" t="s">
        <x:v>55</x:v>
      </x:c>
      <x:c r="M6" s="5" t="s">
        <x:v>56</x:v>
      </x:c>
    </x:row>
    <x:row r="7" ht="24" customHeight="1">
      <x:c r="A7" s="1" t="s">
        <x:v>15</x:v>
      </x:c>
      <x:c r="B7" s="1">
        <x:v>576</x:v>
      </x:c>
      <x:c r="C7" s="1">
        <x:v>576</x:v>
      </x:c>
      <x:c r="D7" s="17"/>
      <x:c r="E7" s="17"/>
      <x:c r="F7" s="17"/>
      <x:c r="G7" s="17"/>
      <x:c r="H7" s="17"/>
      <x:c r="I7" s="17"/>
      <x:c r="J7" s="15"/>
      <x:c r="K7" s="15"/>
      <x:c r="L7" s="18" t="str">
        <x:f>IF(COUNT(G7,$G$7)&lt;2,"",IF(G7=0,"",$G$7/G7))</x:f>
      </x:c>
      <x:c r="M7" s="16" t="s">
        <x:v>57</x:v>
      </x:c>
    </x:row>
    <x:row r="8" ht="24" customHeight="1">
      <x:c r="A8" s="1" t="s">
        <x:v>17</x:v>
      </x:c>
      <x:c r="B8" s="1">
        <x:v>576</x:v>
      </x:c>
      <x:c r="C8" s="1">
        <x:v>72</x:v>
      </x:c>
      <x:c r="D8" s="17"/>
      <x:c r="E8" s="17"/>
      <x:c r="F8" s="17"/>
      <x:c r="G8" s="17"/>
      <x:c r="H8" s="17"/>
      <x:c r="I8" s="17"/>
      <x:c r="J8" s="15"/>
      <x:c r="K8" s="15"/>
      <x:c r="L8" s="18" t="str">
        <x:f>IF(COUNT(G8,$G$7)&lt;2,"",IF(G8=0,"",$G$7/G8))</x:f>
      </x:c>
      <x:c r="M8" s="16" t="s">
        <x:v>57</x:v>
      </x:c>
    </x:row>
    <x:row r="9" ht="24" customHeight="1">
      <x:c r="A9" s="1" t="s">
        <x:v>18</x:v>
      </x:c>
      <x:c r="B9" s="1">
        <x:v>576</x:v>
      </x:c>
      <x:c r="C9" s="1">
        <x:v>36</x:v>
      </x:c>
      <x:c r="D9" s="17"/>
      <x:c r="E9" s="17"/>
      <x:c r="F9" s="17"/>
      <x:c r="G9" s="17"/>
      <x:c r="H9" s="17"/>
      <x:c r="I9" s="17"/>
      <x:c r="J9" s="15"/>
      <x:c r="K9" s="15"/>
      <x:c r="L9" s="18" t="str">
        <x:f>IF(COUNT(G9,$G$7)&lt;2,"",IF(G9=0,"",$G$7/G9))</x:f>
      </x:c>
      <x:c r="M9" s="16" t="s">
        <x:v>57</x:v>
      </x:c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4" customHeight="1">
      <x:c r="A12" s="10" t="s">
        <x:v>58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34" customHeight="1">
      <x:c r="A14" s="19" t="s">
        <x:v>59</x:v>
      </x:c>
      <x:c r="B14" s="21" t="s">
        <x:v>60</x:v>
      </x:c>
      <x:c r="C14" s="21"/>
      <x:c r="D14" s="21"/>
      <x:c r="E14" s="19" t="s">
        <x:v>61</x:v>
      </x:c>
      <x:c r="F14" s="21" t="s">
        <x:v>62</x:v>
      </x:c>
      <x:c r="G14" s="21"/>
      <x:c r="H14" s="21"/>
      <x:c r="I14" s="21"/>
      <x:c r="J14" s="21"/>
      <x:c r="K14" s="21"/>
      <x:c r="L14" s="21"/>
      <x:c r="M14" s="21"/>
    </x:row>
    <x:row r="15" ht="34" customHeight="1">
      <x:c r="A15" s="19" t="s">
        <x:v>63</x:v>
      </x:c>
      <x:c r="B15" s="22"/>
      <x:c r="C15" s="22"/>
      <x:c r="D15" s="22"/>
      <x:c r="E15" s="19" t="s">
        <x:v>64</x:v>
      </x:c>
      <x:c r="F15" s="22"/>
      <x:c r="G15" s="22"/>
      <x:c r="H15" s="22"/>
      <x:c r="I15" s="23" t="s">
        <x:v>65</x:v>
      </x:c>
      <x:c r="J15" s="21"/>
      <x:c r="K15" s="21"/>
      <x:c r="L15" s="21"/>
      <x:c r="M15" s="21"/>
    </x:row>
    <x:row r="16" ht="34" customHeight="1">
      <x:c r="A16" s="19" t="s">
        <x:v>66</x:v>
      </x:c>
      <x:c r="B16" s="22"/>
      <x:c r="C16" s="22"/>
      <x:c r="D16" s="22"/>
      <x:c r="E16" s="19" t="s">
        <x:v>67</x:v>
      </x:c>
      <x:c r="F16" s="22"/>
      <x:c r="G16" s="22"/>
      <x:c r="H16" s="22"/>
      <x:c r="I16" s="23" t="s">
        <x:v>68</x:v>
      </x:c>
      <x:c r="J16" s="21"/>
      <x:c r="K16" s="21"/>
      <x:c r="L16" s="21"/>
      <x:c r="M16" s="21"/>
    </x:row>
    <x:row r="17" ht="34" customHeight="1">
      <x:c r="A17" s="19" t="s">
        <x:v>69</x:v>
      </x:c>
      <x:c r="B17" s="22"/>
      <x:c r="C17" s="22"/>
      <x:c r="D17" s="22"/>
      <x:c r="E17" s="19" t="s">
        <x:v>70</x:v>
      </x:c>
      <x:c r="F17" s="22"/>
      <x:c r="G17" s="22"/>
      <x:c r="H17" s="22"/>
      <x:c r="I17" s="23" t="s">
        <x:v>71</x:v>
      </x:c>
      <x:c r="J17" s="21"/>
      <x:c r="K17" s="21"/>
      <x:c r="L17" s="21"/>
      <x:c r="M17" s="21"/>
    </x:row>
    <x:row r="18" ht="34" customHeight="1">
      <x:c r="A18" s="19" t="s">
        <x:v>72</x:v>
      </x:c>
      <x:c r="B18" s="22"/>
      <x:c r="C18" s="22"/>
      <x:c r="D18" s="22"/>
      <x:c r="E18" s="19" t="s">
        <x:v>73</x:v>
      </x:c>
      <x:c r="F18" s="22"/>
      <x:c r="G18" s="22"/>
      <x:c r="H18" s="22"/>
      <x:c r="I18" s="21"/>
      <x:c r="J18" s="21"/>
      <x:c r="K18" s="21"/>
      <x:c r="L18" s="21"/>
      <x:c r="M18" s="2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24" customHeight="1">
      <x:c r="A22" s="10" t="s">
        <x:v>74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4" customHeight="1">
      <x:c r="A23" s="4" t="s">
        <x:v>75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42" customHeight="1">
      <x:c r="A25" s="5" t="s">
        <x:v>1</x:v>
      </x:c>
      <x:c r="B25" s="5" t="s">
        <x:v>76</x:v>
      </x:c>
      <x:c r="C25" s="5" t="s">
        <x:v>77</x:v>
      </x:c>
      <x:c r="D25" s="5" t="s">
        <x:v>78</x:v>
      </x:c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4" customHeight="1">
      <x:c r="A26" s="1" t="s">
        <x:v>25</x:v>
      </x:c>
      <x:c r="B26" s="13">
        <x:v>125.2</x:v>
      </x:c>
      <x:c r="C26" s="11">
        <x:v>14.99</x:v>
      </x:c>
      <x:c r="D26" s="1">
        <x:v>1474</x:v>
      </x:c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4" customHeight="1">
      <x:c r="A27" s="1" t="s">
        <x:v>27</x:v>
      </x:c>
      <x:c r="B27" s="13">
        <x:v>115.2</x:v>
      </x:c>
      <x:c r="C27" s="11">
        <x:v>14.87</x:v>
      </x:c>
      <x:c r="D27" s="1">
        <x:v>1500</x:v>
      </x:c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4" customHeight="1">
      <x:c r="A28" s="1" t="s">
        <x:v>29</x:v>
      </x:c>
      <x:c r="B28" s="13">
        <x:v>129.1</x:v>
      </x:c>
      <x:c r="C28" s="11">
        <x:v>19.05</x:v>
      </x:c>
      <x:c r="D28" s="1">
        <x:v>1484</x:v>
      </x:c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4" customHeight="1">
      <x:c r="A29" s="1" t="s">
        <x:v>79</x:v>
      </x:c>
      <x:c r="B29" s="13">
        <x:v>111.4</x:v>
      </x:c>
      <x:c r="C29" s="11">
        <x:v>14.82</x:v>
      </x:c>
      <x:c r="D29" s="1">
        <x:v>1540</x:v>
      </x:c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4" customHeight="1">
      <x:c r="A31" s="4" t="s">
        <x:v>80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</x:sheetData>
  <x:mergeCells>
    <x:mergeCell ref="B18:D18"/>
    <x:mergeCell ref="F18:H18"/>
    <x:mergeCell ref="I18:M18"/>
    <x:mergeCell ref="B16:D16"/>
    <x:mergeCell ref="F16:H16"/>
    <x:mergeCell ref="I16:M16"/>
    <x:mergeCell ref="B17:D17"/>
    <x:mergeCell ref="F17:H17"/>
    <x:mergeCell ref="I17:M17"/>
    <x:mergeCell ref="B14:D14"/>
    <x:mergeCell ref="F14:H14"/>
    <x:mergeCell ref="I14:M14"/>
    <x:mergeCell ref="B15:D15"/>
    <x:mergeCell ref="F15:H15"/>
    <x:mergeCell ref="I15:M15"/>
  </x:mergeCells>
  <x:dataValidations count="1">
    <x:dataValidation type="list" sqref="M7:M9">
      <x:formula1>"待准备,待运行,运行中,待确认,已完成,待修复,暂不开展"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63C59"/>
  </x:sheetPr>
  <x:sheetViews>
    <x:sheetView showGridLines="0" workbookViewId="0"/>
  </x:sheetViews>
  <x:sheetFormatPr defaultRowHeight="14"/>
  <x:cols>
    <x:col min="1" max="1" width="26" customWidth="1"/>
    <x:col min="2" max="2" width="17" customWidth="1"/>
    <x:col min="3" max="3" width="15" customWidth="1"/>
    <x:col min="4" max="6" width="14" customWidth="1"/>
    <x:col min="7" max="8" width="16" customWidth="1"/>
    <x:col min="9" max="9" width="19" customWidth="1"/>
    <x:col min="10" max="10" width="2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">
        <x:v>81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4" t="s">
        <x:v>82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2" customHeight="1">
      <x:c r="A6" s="5" t="s">
        <x:v>83</x:v>
      </x:c>
      <x:c r="B6" s="5" t="s">
        <x:v>84</x:v>
      </x:c>
      <x:c r="C6" s="5" t="s">
        <x:v>2</x:v>
      </x:c>
      <x:c r="D6" s="5" t="s">
        <x:v>6</x:v>
      </x:c>
      <x:c r="E6" s="5" t="s">
        <x:v>10</x:v>
      </x:c>
      <x:c r="F6" s="5" t="s">
        <x:v>12</x:v>
      </x:c>
      <x:c r="G6" s="5" t="s">
        <x:v>13</x:v>
      </x:c>
      <x:c r="H6" s="5" t="s">
        <x:v>9</x:v>
      </x:c>
      <x:c r="I6" s="5" t="s">
        <x:v>85</x:v>
      </x:c>
      <x:c r="J6" s="5" t="s">
        <x:v>86</x:v>
      </x:c>
    </x:row>
    <x:row r="7" ht="24" customHeight="1">
      <x:c r="A7" s="1" t="s">
        <x:v>87</x:v>
      </x:c>
      <x:c r="B7" s="1" t="s">
        <x:v>30</x:v>
      </x:c>
      <x:c r="C7" s="1" t="s">
        <x:v>16</x:v>
      </x:c>
      <x:c r="D7" s="17"/>
      <x:c r="E7" s="6"/>
      <x:c r="F7" s="6"/>
      <x:c r="G7" s="6"/>
      <x:c r="H7" s="6"/>
      <x:c r="I7" s="1" t="s">
        <x:v>88</x:v>
      </x:c>
      <x:c r="J7" s="1" t="s">
        <x:v>89</x:v>
      </x:c>
    </x:row>
    <x:row r="8" ht="24" customHeight="1">
      <x:c r="A8" s="1" t="s">
        <x:v>90</x:v>
      </x:c>
      <x:c r="B8" s="1" t="s">
        <x:v>30</x:v>
      </x:c>
      <x:c r="C8" s="1" t="s">
        <x:v>16</x:v>
      </x:c>
      <x:c r="D8" s="17"/>
      <x:c r="E8" s="6"/>
      <x:c r="F8" s="6"/>
      <x:c r="G8" s="6"/>
      <x:c r="H8" s="6"/>
      <x:c r="I8" s="1" t="s">
        <x:v>88</x:v>
      </x:c>
      <x:c r="J8" s="1" t="s">
        <x:v>89</x:v>
      </x:c>
    </x:row>
    <x:row r="9" ht="24" customHeight="1">
      <x:c r="A9" s="1" t="s">
        <x:v>91</x:v>
      </x:c>
      <x:c r="B9" s="1" t="s">
        <x:v>30</x:v>
      </x:c>
      <x:c r="C9" s="1" t="s">
        <x:v>16</x:v>
      </x:c>
      <x:c r="D9" s="17"/>
      <x:c r="E9" s="6"/>
      <x:c r="F9" s="6"/>
      <x:c r="G9" s="6"/>
      <x:c r="H9" s="6"/>
      <x:c r="I9" s="1" t="s">
        <x:v>88</x:v>
      </x:c>
      <x:c r="J9" s="1" t="s">
        <x:v>89</x:v>
      </x:c>
    </x:row>
    <x:row r="10" ht="24" customHeight="1">
      <x:c r="A10" s="1" t="s">
        <x:v>92</x:v>
      </x:c>
      <x:c r="B10" s="1" t="s">
        <x:v>30</x:v>
      </x:c>
      <x:c r="C10" s="1" t="s">
        <x:v>16</x:v>
      </x:c>
      <x:c r="D10" s="7" t="n">
        <x:f>IF(ISNUMBER(主实验!F8),主实验!F8,"")</x:f>
        <x:v>1521.6852741096438</x:v>
      </x:c>
      <x:c r="E10" s="7" t="n">
        <x:f>IF(ISNUMBER(主实验!J8),主实验!J8,"")</x:f>
        <x:v>69.51</x:v>
      </x:c>
      <x:c r="F10" s="7" t="n">
        <x:f>IF(ISNUMBER(主实验!L8),主实验!L8,"")</x:f>
        <x:v>61.46</x:v>
      </x:c>
      <x:c r="G10" s="7" t="n">
        <x:f>IF(ISNUMBER(主实验!M8),主实验!M8,"")</x:f>
        <x:v>65.47619047619048</x:v>
      </x:c>
      <x:c r="H10" s="7" t="n">
        <x:f>IF(ISNUMBER(主实验!I8),主实验!I8,"")</x:f>
        <x:v>57.85</x:v>
      </x:c>
      <x:c r="I10" s="1" t="s">
        <x:v>93</x:v>
      </x:c>
      <x:c r="J10" s="1" t="s">
        <x:v>89</x:v>
      </x:c>
    </x:row>
    <x:row r="11" ht="24" customHeight="1">
      <x:c r="A11" s="1" t="s">
        <x:v>94</x:v>
      </x:c>
      <x:c r="B11" s="1" t="s">
        <x:v>30</x:v>
      </x:c>
      <x:c r="C11" s="1" t="s">
        <x:v>16</x:v>
      </x:c>
      <x:c r="D11" s="17"/>
      <x:c r="E11" s="6"/>
      <x:c r="F11" s="6"/>
      <x:c r="G11" s="6"/>
      <x:c r="H11" s="6"/>
      <x:c r="I11" s="1" t="s">
        <x:v>88</x:v>
      </x:c>
      <x:c r="J11" s="1" t="s">
        <x:v>95</x:v>
      </x:c>
    </x:row>
    <x:row r="12" ht="24" customHeight="1">
      <x:c r="A12" s="1" t="s">
        <x:v>96</x:v>
      </x:c>
      <x:c r="B12" s="1" t="s">
        <x:v>97</x:v>
      </x:c>
      <x:c r="C12" s="1" t="s">
        <x:v>16</x:v>
      </x:c>
      <x:c r="D12" s="17"/>
      <x:c r="E12" s="6"/>
      <x:c r="F12" s="6"/>
      <x:c r="G12" s="6"/>
      <x:c r="H12" s="6"/>
      <x:c r="I12" s="1" t="s">
        <x:v>88</x:v>
      </x:c>
      <x:c r="J12" s="1" t="s">
        <x:v>98</x:v>
      </x:c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4" customHeight="1">
      <x:c r="A15" s="10" t="s">
        <x:v>99</x:v>
      </x:c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4" customHeight="1">
      <x:c r="A16" s="4" t="s">
        <x:v>100</x:v>
      </x:c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42" customHeight="1">
      <x:c r="A18" s="5" t="s">
        <x:v>83</x:v>
      </x:c>
      <x:c r="B18" s="5" t="s">
        <x:v>101</x:v>
      </x:c>
      <x:c r="C18" s="5" t="s">
        <x:v>2</x:v>
      </x:c>
      <x:c r="D18" s="5" t="s">
        <x:v>6</x:v>
      </x:c>
      <x:c r="E18" s="5" t="s">
        <x:v>10</x:v>
      </x:c>
      <x:c r="F18" s="5" t="s">
        <x:v>12</x:v>
      </x:c>
      <x:c r="G18" s="5" t="s">
        <x:v>13</x:v>
      </x:c>
      <x:c r="H18" s="5" t="s">
        <x:v>9</x:v>
      </x:c>
      <x:c r="I18" s="5" t="s">
        <x:v>102</x:v>
      </x:c>
      <x:c r="J18" s="5" t="s">
        <x:v>86</x:v>
      </x:c>
    </x:row>
    <x:row r="19" ht="24" customHeight="1">
      <x:c r="A19" s="1" t="s">
        <x:v>87</x:v>
      </x:c>
      <x:c r="B19" s="1" t="s">
        <x:v>103</x:v>
      </x:c>
      <x:c r="C19" s="1" t="s">
        <x:v>23</x:v>
      </x:c>
      <x:c r="D19" s="1">
        <x:v>1514</x:v>
      </x:c>
      <x:c r="E19" s="13">
        <x:v>69</x:v>
      </x:c>
      <x:c r="F19" s="13">
        <x:v>61.1</x:v>
      </x:c>
      <x:c r="G19" s="13">
        <x:v>65.599999999999994</x:v>
      </x:c>
      <x:c r="H19" s="13"/>
      <x:c r="I19" s="1"/>
      <x:c r="J19" s="1" t="s">
        <x:v>89</x:v>
      </x:c>
    </x:row>
    <x:row r="20" ht="24" customHeight="1">
      <x:c r="A20" s="1" t="s">
        <x:v>90</x:v>
      </x:c>
      <x:c r="B20" s="1" t="s">
        <x:v>103</x:v>
      </x:c>
      <x:c r="C20" s="1" t="s">
        <x:v>23</x:v>
      </x:c>
      <x:c r="D20" s="1">
        <x:v>1521</x:v>
      </x:c>
      <x:c r="E20" s="13">
        <x:v>69.099999999999994</x:v>
      </x:c>
      <x:c r="F20" s="13">
        <x:v>61.2</x:v>
      </x:c>
      <x:c r="G20" s="13">
        <x:v>65.400000000000006</x:v>
      </x:c>
      <x:c r="H20" s="13"/>
      <x:c r="I20" s="1"/>
      <x:c r="J20" s="1" t="s">
        <x:v>89</x:v>
      </x:c>
    </x:row>
    <x:row r="21" ht="24" customHeight="1">
      <x:c r="A21" s="1" t="s">
        <x:v>91</x:v>
      </x:c>
      <x:c r="B21" s="1" t="s">
        <x:v>103</x:v>
      </x:c>
      <x:c r="C21" s="1" t="s">
        <x:v>23</x:v>
      </x:c>
      <x:c r="D21" s="1">
        <x:v>1532</x:v>
      </x:c>
      <x:c r="E21" s="13">
        <x:v>69.400000000000006</x:v>
      </x:c>
      <x:c r="F21" s="13">
        <x:v>61.4</x:v>
      </x:c>
      <x:c r="G21" s="13">
        <x:v>65.7</x:v>
      </x:c>
      <x:c r="H21" s="13"/>
      <x:c r="I21" s="1"/>
      <x:c r="J21" s="1" t="s">
        <x:v>89</x:v>
      </x:c>
    </x:row>
    <x:row r="22" ht="24" customHeight="1">
      <x:c r="A22" s="1" t="s">
        <x:v>92</x:v>
      </x:c>
      <x:c r="B22" s="1" t="s">
        <x:v>103</x:v>
      </x:c>
      <x:c r="C22" s="1" t="s">
        <x:v>23</x:v>
      </x:c>
      <x:c r="D22" s="1">
        <x:v>1540</x:v>
      </x:c>
      <x:c r="E22" s="13">
        <x:v>69.5</x:v>
      </x:c>
      <x:c r="F22" s="13">
        <x:v>61.4</x:v>
      </x:c>
      <x:c r="G22" s="13">
        <x:v>66</x:v>
      </x:c>
      <x:c r="H22" s="13"/>
      <x:c r="I22" s="1"/>
      <x:c r="J22" s="1" t="s">
        <x:v>89</x:v>
      </x:c>
    </x:row>
    <x:row r="23" ht="24" customHeight="1">
      <x:c r="A23" s="1" t="s">
        <x:v>94</x:v>
      </x:c>
      <x:c r="B23" s="1" t="s">
        <x:v>104</x:v>
      </x:c>
      <x:c r="C23" s="1" t="s">
        <x:v>23</x:v>
      </x:c>
      <x:c r="D23" s="1">
        <x:v>1530</x:v>
      </x:c>
      <x:c r="E23" s="13"/>
      <x:c r="F23" s="13">
        <x:v>61.4</x:v>
      </x:c>
      <x:c r="G23" s="13">
        <x:v>65.7</x:v>
      </x:c>
      <x:c r="H23" s="13"/>
      <x:c r="I23" s="1" t="s">
        <x:v>105</x:v>
      </x:c>
      <x:c r="J23" s="1" t="s">
        <x:v>95</x:v>
      </x:c>
    </x:row>
    <x:row r="24" ht="24" customHeight="1">
      <x:c r="A24" s="1" t="s">
        <x:v>96</x:v>
      </x:c>
      <x:c r="B24" s="1" t="s">
        <x:v>106</x:v>
      </x:c>
      <x:c r="C24" s="1" t="s">
        <x:v>23</x:v>
      </x:c>
      <x:c r="D24" s="1"/>
      <x:c r="E24" s="13">
        <x:v>68.900000000000006</x:v>
      </x:c>
      <x:c r="F24" s="13">
        <x:v>58.4</x:v>
      </x:c>
      <x:c r="G24" s="13">
        <x:v>64.900000000000006</x:v>
      </x:c>
      <x:c r="H24" s="13">
        <x:v>50.9</x:v>
      </x:c>
      <x:c r="I24" s="1" t="s">
        <x:v>107</x:v>
      </x:c>
      <x:c r="J24" s="1" t="s">
        <x:v>98</x:v>
      </x:c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4" customHeight="1">
      <x:c r="A27" s="4" t="s">
        <x:v>108</x:v>
      </x:c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4" customHeight="1">
      <x:c r="A28" s="4" t="s">
        <x:v>109</x:v>
      </x:c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4" customHeight="1">
      <x:c r="A29" s="4" t="s">
        <x:v>110</x:v>
      </x:c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</x:sheetData>
  <x:pageMargins left="0.7" right="0.7" top="0.75" bottom="0.75" header="0.3" footer="0.3"/>
</x:worksheet>
</file>